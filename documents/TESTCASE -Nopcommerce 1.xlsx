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playwright-create\"/>
    </mc:Choice>
  </mc:AlternateContent>
  <bookViews>
    <workbookView xWindow="0" yWindow="0" windowWidth="19200" windowHeight="6350" activeTab="4"/>
  </bookViews>
  <sheets>
    <sheet name="Login" sheetId="1" r:id="rId1"/>
    <sheet name="Logout" sheetId="2" r:id="rId2"/>
    <sheet name="Forgot Password" sheetId="3" r:id="rId3"/>
    <sheet name="My Account" sheetId="4" r:id="rId4"/>
    <sheet name="Checkout" sheetId="5" r:id="rId5"/>
    <sheet name="Summary " sheetId="12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D3" i="12"/>
  <c r="E3" i="12"/>
  <c r="F3" i="12"/>
  <c r="G3" i="12"/>
  <c r="H3" i="12"/>
  <c r="H7" i="12" l="1"/>
  <c r="G7" i="12"/>
  <c r="F7" i="12"/>
  <c r="E7" i="12"/>
  <c r="E8" i="12" s="1"/>
  <c r="D7" i="12"/>
  <c r="D8" i="12" s="1"/>
  <c r="C7" i="12"/>
  <c r="C8" i="12" s="1"/>
  <c r="B7" i="12"/>
  <c r="H6" i="12"/>
  <c r="H4" i="12"/>
  <c r="H5" i="12"/>
  <c r="G4" i="12"/>
  <c r="G5" i="12"/>
  <c r="G6" i="12"/>
  <c r="F6" i="12"/>
  <c r="F5" i="12"/>
  <c r="F4" i="12"/>
  <c r="E4" i="12"/>
  <c r="E5" i="12"/>
  <c r="E6" i="12"/>
  <c r="D6" i="12"/>
  <c r="D5" i="12"/>
  <c r="D4" i="12"/>
  <c r="C4" i="12"/>
  <c r="C5" i="12"/>
  <c r="C6" i="12"/>
  <c r="H8" i="12" l="1"/>
  <c r="F8" i="12"/>
  <c r="G8" i="12"/>
  <c r="B4" i="12"/>
  <c r="B5" i="12"/>
  <c r="B6" i="12"/>
  <c r="B3" i="12" l="1"/>
  <c r="B8" i="12" s="1"/>
</calcChain>
</file>

<file path=xl/sharedStrings.xml><?xml version="1.0" encoding="utf-8"?>
<sst xmlns="http://schemas.openxmlformats.org/spreadsheetml/2006/main" count="1002" uniqueCount="517">
  <si>
    <t>TC-ID</t>
  </si>
  <si>
    <t>Description 
(Test Scenario)</t>
  </si>
  <si>
    <t>Pre-condition</t>
  </si>
  <si>
    <t>Test step</t>
  </si>
  <si>
    <t>Step condition to perform</t>
  </si>
  <si>
    <t>Data</t>
  </si>
  <si>
    <t>Priority</t>
  </si>
  <si>
    <t>Expected result</t>
  </si>
  <si>
    <t>Testing Result</t>
  </si>
  <si>
    <t>Date</t>
  </si>
  <si>
    <t>Who checked</t>
  </si>
  <si>
    <t>BUG ID</t>
  </si>
  <si>
    <t>Comment</t>
  </si>
  <si>
    <t>Chrome</t>
  </si>
  <si>
    <t>Microsoft Edge</t>
  </si>
  <si>
    <t>Login-001</t>
  </si>
  <si>
    <t>Login successful</t>
  </si>
  <si>
    <t>Remain on the Login screen</t>
  </si>
  <si>
    <t>1. Input valid Email 
2. Input valid Password 
3. Click Login button</t>
  </si>
  <si>
    <t>Email: "test@gmail.com" Password: "123456"</t>
  </si>
  <si>
    <t>High</t>
  </si>
  <si>
    <t>Navigate to home page</t>
  </si>
  <si>
    <t>Passed</t>
  </si>
  <si>
    <t>Login-002</t>
  </si>
  <si>
    <t>1.1 Input a valid Email address with leading and/or trailing spaces</t>
  </si>
  <si>
    <t>Email: " test@gmail.com "</t>
  </si>
  <si>
    <t>Medium</t>
  </si>
  <si>
    <t>The system automatically trims the extra spaces from the email address and logs the user in successfully.</t>
  </si>
  <si>
    <t>Login-003</t>
  </si>
  <si>
    <t>1.2 Input email uppercase/lowercase</t>
  </si>
  <si>
    <t xml:space="preserve">Email: "TEST@gmail.com" </t>
  </si>
  <si>
    <t>Low</t>
  </si>
  <si>
    <t>The system treats the email as case-insensitive and logs in successfully.</t>
  </si>
  <si>
    <t>Login-004</t>
  </si>
  <si>
    <t>Login unsuccessful by Email</t>
  </si>
  <si>
    <t>1. Input invalid Email
2. Input valid Password 
3. Click Login button</t>
  </si>
  <si>
    <t>1.1 Leave Email empty</t>
  </si>
  <si>
    <t>Email: " "</t>
  </si>
  <si>
    <t>Show message "Please enter your email."</t>
  </si>
  <si>
    <t>Login-005</t>
  </si>
  <si>
    <t>1.2 Input unregistered email</t>
  </si>
  <si>
    <t>Email: "abc@gmail.com"</t>
  </si>
  <si>
    <t>Show message "Login was unsuccessful."</t>
  </si>
  <si>
    <t>Login-006</t>
  </si>
  <si>
    <t>1.3 Email without '@'</t>
  </si>
  <si>
    <t>Email: "abcgmail.com"</t>
  </si>
  <si>
    <t>Show message "Please enter a valid email address."</t>
  </si>
  <si>
    <t>Login-007</t>
  </si>
  <si>
    <t>1.4 Email contains space</t>
  </si>
  <si>
    <t>Email: "abc @gmail.com"</t>
  </si>
  <si>
    <t>Un-test</t>
  </si>
  <si>
    <t>Login-008</t>
  </si>
  <si>
    <t>1.5 Input email exceeding maximum length</t>
  </si>
  <si>
    <t>Email: "verylongemail@gmail.com"</t>
  </si>
  <si>
    <t>Show message "Email must not exceed the maximum length."</t>
  </si>
  <si>
    <t>Failed</t>
  </si>
  <si>
    <t>Login-009</t>
  </si>
  <si>
    <t>1.6 Input email containing "#"</t>
  </si>
  <si>
    <t>Email: "abc#@gmail.com"</t>
  </si>
  <si>
    <t>Login-010</t>
  </si>
  <si>
    <t>1.7 Email containing only '@' characters</t>
  </si>
  <si>
    <t>Email: "@"</t>
  </si>
  <si>
    <t>Login-011</t>
  </si>
  <si>
    <t>Login unsuccessful by Password</t>
  </si>
  <si>
    <t>1. Input valid Email 
2. Input invalid Password 
3. Click Login button</t>
  </si>
  <si>
    <t>2.1 Leave Password empty</t>
  </si>
  <si>
    <t>Password: " "</t>
  </si>
  <si>
    <t>Show message "Please enter the password."</t>
  </si>
  <si>
    <t>The system shows a general error message instead of field-level validation.</t>
  </si>
  <si>
    <t>Login-012</t>
  </si>
  <si>
    <t>2.2 Input wrong password</t>
  </si>
  <si>
    <t>Password: "huyen"</t>
  </si>
  <si>
    <t>Login-013</t>
  </si>
  <si>
    <t>2.3 Input password exceeding maximum length</t>
  </si>
  <si>
    <t>Password: "verylongpassword"</t>
  </si>
  <si>
    <t>Show message "Password must not exceed the maximum length."</t>
  </si>
  <si>
    <t>Login-014</t>
  </si>
  <si>
    <t>2.4 Input wrong password &gt;3 times</t>
  </si>
  <si>
    <t>Password: "nhapqua3lan"</t>
  </si>
  <si>
    <t>Show error message and lock the account after 3 failed login attempts.</t>
  </si>
  <si>
    <t>Login-015</t>
  </si>
  <si>
    <t>Verify Enter key</t>
  </si>
  <si>
    <t>1. Input valid Email 
2. Input valid Password 
3. Press Enter</t>
  </si>
  <si>
    <t>Login success</t>
  </si>
  <si>
    <t>Login-016</t>
  </si>
  <si>
    <t>Verify Remember Me</t>
  </si>
  <si>
    <t xml:space="preserve">1. Enter a valid Email and Password.
2. Check the "Remember me?" checkbox.
3. Click the "LOG IN" button.
4. Close the browser (or current tab).
5. </t>
  </si>
  <si>
    <t>2.1 Check Remember Me</t>
  </si>
  <si>
    <t>Reopen the browser and navigate back to the nopCommerce website.</t>
  </si>
  <si>
    <t>Login-017</t>
  </si>
  <si>
    <t>Login from Cart page</t>
  </si>
  <si>
    <t>Remain on the Cart screen</t>
  </si>
  <si>
    <t>1. Click Checkout
2. Input valid Email 
3. Input valid Password 
4. Click Login button</t>
  </si>
  <si>
    <t>1.1 Redirect to Login</t>
  </si>
  <si>
    <t>Login is successful and the user is redirected back to the Cart page.</t>
  </si>
  <si>
    <t>Login-018</t>
  </si>
  <si>
    <t>Login unsuccessful with empty fields</t>
  </si>
  <si>
    <t>1. Leave Email empty
2. Leave Password empty
3. Click Login button</t>
  </si>
  <si>
    <t xml:space="preserve">Email: " "
Password: " " </t>
  </si>
  <si>
    <t>Show message "Please enter your email"</t>
  </si>
  <si>
    <t>Login-019</t>
  </si>
  <si>
    <t>Verify Show/Hide password functionality (Eye icon)</t>
  </si>
  <si>
    <t>1. Input any characters into the Password field.
2. Click on the "Eye" icon inside the Password field.
3. Click on the "Eye" icon again.</t>
  </si>
  <si>
    <t>Password: "123456"</t>
  </si>
  <si>
    <t>2.1 The password characters (masked as dots) are displayed as plain text.
2.2 The password characters are masked again as dots (••••••).</t>
  </si>
  <si>
    <t>Microsoft Egde</t>
  </si>
  <si>
    <t>Logout-001</t>
  </si>
  <si>
    <t>Logout successful</t>
  </si>
  <si>
    <t>User is logged in</t>
  </si>
  <si>
    <t>1. Click Logout button</t>
  </si>
  <si>
    <t>"Redirect to homepage. 'Log in' &amp; 'Register' replace 'Log out' &amp; 'My account'."</t>
  </si>
  <si>
    <t>Logout-002</t>
  </si>
  <si>
    <t>Access My Account after logout</t>
  </si>
  <si>
    <t>1. Copy the URL of 'My Account' page.
2. Click Logout button.
3. Paste the URL into browser and press Enter.</t>
  </si>
  <si>
    <t>Redirect to Login page</t>
  </si>
  <si>
    <t>Logout-003</t>
  </si>
  <si>
    <t>Logout then press Back</t>
  </si>
  <si>
    <t>1. Click Logout button.
2. Press Back button on the browser.</t>
  </si>
  <si>
    <t>"Browser shows cached page. Any new action redirects to Login page."</t>
  </si>
  <si>
    <t>Logout-004</t>
  </si>
  <si>
    <t>Logout one tab, check another tab</t>
  </si>
  <si>
    <t>User is logged in on two different tabs (Tab A and Tab B)</t>
  </si>
  <si>
    <t>1. On Tab A, click Logout button.
2. Switch to Tab B and reload the page (or click any link).</t>
  </si>
  <si>
    <t>Tab B redirects to Login page (or shows logged out state).</t>
  </si>
  <si>
    <t>ForgotPassword-001</t>
  </si>
  <si>
    <t>Verify Forgot Password feature with valid email</t>
  </si>
  <si>
    <t>Remain on the Forgot Password screen</t>
  </si>
  <si>
    <t xml:space="preserve">1. Input valid Email  
2. Click Recover button
</t>
  </si>
  <si>
    <t>Email: "test@gmail.com"</t>
  </si>
  <si>
    <t>Show message "Email with instructions has been sent to you."</t>
  </si>
  <si>
    <t>ForgotPassword-002</t>
  </si>
  <si>
    <t>Email: 
" test@gmail.com "</t>
  </si>
  <si>
    <t>Show message "System auto-trims spaces and shows success message."</t>
  </si>
  <si>
    <t>ForgotPassword-003</t>
  </si>
  <si>
    <t>Email: "TEST@gmail.com"</t>
  </si>
  <si>
    <t>ForgotPassword-004</t>
  </si>
  <si>
    <t>Verify Forgot Password feature with invalid email</t>
  </si>
  <si>
    <t>1. Input invalid Email  
2. Click Recover button</t>
  </si>
  <si>
    <t>1.1 Input unregistered email</t>
  </si>
  <si>
    <t xml:space="preserve">Show message "Email not found."
</t>
  </si>
  <si>
    <t>ForgotPassword-005</t>
  </si>
  <si>
    <t>1.2 Leave Email empty</t>
  </si>
  <si>
    <t>Show message "Enter your email"</t>
  </si>
  <si>
    <t>ForgotPassword-006</t>
  </si>
  <si>
    <t>abcgmail.com</t>
  </si>
  <si>
    <t>ForgotPassword-007</t>
  </si>
  <si>
    <t>abc @gmail.com</t>
  </si>
  <si>
    <t>ForgotPassword-008</t>
  </si>
  <si>
    <t>Open Forgot Password from Login</t>
  </si>
  <si>
    <t>1. Click Forgot Password</t>
  </si>
  <si>
    <t>1.1 Click link Forgot Password</t>
  </si>
  <si>
    <t>Navigate to Forgot page</t>
  </si>
  <si>
    <t>MyAccount-001</t>
  </si>
  <si>
    <t>Update info successfully</t>
  </si>
  <si>
    <t>Remain on Customer info page</t>
  </si>
  <si>
    <t>1. Input valid data in required fields
2. Click SAVE</t>
  </si>
  <si>
    <t>All mandatory fields (*) are filled correctly</t>
  </si>
  <si>
    <t>FName: "QA"
LName: "Test"
Email: "qa@gmail.com"</t>
  </si>
  <si>
    <t>Show message "The customer info has been updated successfully."</t>
  </si>
  <si>
    <t>MyAccount-002</t>
  </si>
  <si>
    <t>Update info unsuccessfully</t>
  </si>
  <si>
    <t>1. Input data in required fields
3. Click SAVE</t>
  </si>
  <si>
    <t>1.1 Leave mandatory First name empty</t>
  </si>
  <si>
    <t>FName: " "</t>
  </si>
  <si>
    <t>Show message "First name is required."</t>
  </si>
  <si>
    <t>MyAccount-003</t>
  </si>
  <si>
    <t>1.2 Leave mandatory Last name empty</t>
  </si>
  <si>
    <t>LName: " "</t>
  </si>
  <si>
    <t>Show message "Last name is required."</t>
  </si>
  <si>
    <t>MyAccount-004</t>
  </si>
  <si>
    <t>1.3 Leave mandatory Email empty</t>
  </si>
  <si>
    <t>Show message "Email is required."</t>
  </si>
  <si>
    <t>MyAccount-005</t>
  </si>
  <si>
    <t>Show message "Email address is too long."</t>
  </si>
  <si>
    <t>MyAccount-006</t>
  </si>
  <si>
    <t>1.6 Input duplicated Email</t>
  </si>
  <si>
    <t>Email: "user2@gmail.com"</t>
  </si>
  <si>
    <t>Show message "The email address is already in use"</t>
  </si>
  <si>
    <t>MyAccount-007</t>
  </si>
  <si>
    <t>1.7 Input only spaces in First name</t>
  </si>
  <si>
    <t>FName: "               "</t>
  </si>
  <si>
    <t>MyAccount-008</t>
  </si>
  <si>
    <t>1.8 Input excessively long string in Company Name</t>
  </si>
  <si>
    <t>CompanyName: "inputverylong"</t>
  </si>
  <si>
    <t>Show message "String or binary data would be truncated. The statement has been terminated."</t>
  </si>
  <si>
    <t>MyAccount-009</t>
  </si>
  <si>
    <t>1.9 Input email containing "#"</t>
  </si>
  <si>
    <t xml:space="preserve">The customer info has been updated successfully.
</t>
  </si>
  <si>
    <t>Checkout-001</t>
  </si>
  <si>
    <t>Checkout successfully</t>
  </si>
  <si>
    <t>Remain on the Cart screen (with items)</t>
  </si>
  <si>
    <t>1. Check T&amp;C
2. Click Checkout
3. Input valid info (Step 1-5)
4. Click Confirm</t>
  </si>
  <si>
    <t>Navigate to "Thank you" page and show Order Number. Cart is emptied.</t>
  </si>
  <si>
    <t>Checkout-002</t>
  </si>
  <si>
    <t>Checkout unsuccessful by Pre-Checkout</t>
  </si>
  <si>
    <t>1. Uncheck Terms and Conditions checkbox
2. Click Checkout button</t>
  </si>
  <si>
    <t>1.1 Leave T&amp;C unchecked</t>
  </si>
  <si>
    <t>Show warning message prompting user to accept the terms.</t>
  </si>
  <si>
    <t>Checkout-003</t>
  </si>
  <si>
    <t>Checkout unsuccessful by Billing Address (Step 1)</t>
  </si>
  <si>
    <t>Remain on Checkout screen (Step 1)</t>
  </si>
  <si>
    <t>1. Input invalid Billing info
2. Click Continue button</t>
  </si>
  <si>
    <t>1.1 Leave First name empty</t>
  </si>
  <si>
    <t>First name: " "</t>
  </si>
  <si>
    <t>Checkout-004</t>
  </si>
  <si>
    <t>1.2 Leave Last name empty</t>
  </si>
  <si>
    <t>Last name: " "</t>
  </si>
  <si>
    <t>Checkout-005</t>
  </si>
  <si>
    <t>1.3 Leave Email empty</t>
  </si>
  <si>
    <t>Checkout-006</t>
  </si>
  <si>
    <t>1.4 Input invalid Email format</t>
  </si>
  <si>
    <t>Checkout-007</t>
  </si>
  <si>
    <t>1.5 Do not select a country</t>
  </si>
  <si>
    <t>Show message "Country is required."</t>
  </si>
  <si>
    <t>Checkout-008</t>
  </si>
  <si>
    <t>1.6 Leave City empty</t>
  </si>
  <si>
    <t>City: " "</t>
  </si>
  <si>
    <t>Checkout-009</t>
  </si>
  <si>
    <t>1.7 Leave Address 1 empty</t>
  </si>
  <si>
    <t>Address 1: " "</t>
  </si>
  <si>
    <t>Show message "Street address is required."</t>
  </si>
  <si>
    <t>Checkout-010</t>
  </si>
  <si>
    <t>1.8 Input alphabetic characters in Zip</t>
  </si>
  <si>
    <t>Zip: "abc"</t>
  </si>
  <si>
    <t>System shows error message "Zip code must be numeric".</t>
  </si>
  <si>
    <t>Checkout-011</t>
  </si>
  <si>
    <t>1.9 Input special characters in Zip</t>
  </si>
  <si>
    <t>Zip: "*&amp;^"</t>
  </si>
  <si>
    <t>Checkout-012</t>
  </si>
  <si>
    <t>1.10 Leave Zip/postal code empty</t>
  </si>
  <si>
    <t>Zip: " "</t>
  </si>
  <si>
    <t>Show message "Zip / postal code is required"</t>
  </si>
  <si>
    <t>Checkout-013</t>
  </si>
  <si>
    <t>1.11 Input alphabetic characters in Phone</t>
  </si>
  <si>
    <t>Phone: "abcdef"</t>
  </si>
  <si>
    <t>System shows error message "Phone number must contain only digits".</t>
  </si>
  <si>
    <t>Checkout-014</t>
  </si>
  <si>
    <t>1.12 Input special characters in Phone</t>
  </si>
  <si>
    <t>Phone: "!@#$%"</t>
  </si>
  <si>
    <t>System shows error message "Invalid phone number format".</t>
  </si>
  <si>
    <t>Checkout-015</t>
  </si>
  <si>
    <t>1.13 Input invalid phone length (short/long)</t>
  </si>
  <si>
    <t>Phone: "12" or "0123456789123456"</t>
  </si>
  <si>
    <t>System shows error message "Phone number must be between X and Y digits".</t>
  </si>
  <si>
    <t>Checkout-016</t>
  </si>
  <si>
    <t>1.14 Leave Phone empty</t>
  </si>
  <si>
    <t>Phone: " "</t>
  </si>
  <si>
    <t>Show message "Phone is required."</t>
  </si>
  <si>
    <t>Checkout-017</t>
  </si>
  <si>
    <t>Checkout unsuccessful by Payment Info (Step 5)</t>
  </si>
  <si>
    <t>Remain on Checkout screen (Step 5)</t>
  </si>
  <si>
    <t>1. Select Credit Card
2. Input invalid CC info
3. Click Continue button</t>
  </si>
  <si>
    <t>2.1 Leave Cardholder name empty</t>
  </si>
  <si>
    <t>Cardholder: " "</t>
  </si>
  <si>
    <t>Show message "Cardholder name is required."</t>
  </si>
  <si>
    <t>Checkout-018</t>
  </si>
  <si>
    <t>2.2 Leave Card number empty</t>
  </si>
  <si>
    <t>Card number: " "</t>
  </si>
  <si>
    <t>Show message "Card number is required."</t>
  </si>
  <si>
    <t>Checkout-019</t>
  </si>
  <si>
    <t>2.3 Input Credit Card number containing text</t>
  </si>
  <si>
    <t>Card number: "abc123!@"</t>
  </si>
  <si>
    <t>Show message "Wrong card number"</t>
  </si>
  <si>
    <t>Checkout-020</t>
  </si>
  <si>
    <t>2.4 Input expired credit card</t>
  </si>
  <si>
    <t>Expiration date:: 01 / 2024</t>
  </si>
  <si>
    <t>Show message "Card is expired"</t>
  </si>
  <si>
    <t>Checkout-021</t>
  </si>
  <si>
    <t>2.5 Input invalid Credit Card (length)</t>
  </si>
  <si>
    <t>Credit Card: "12"</t>
  </si>
  <si>
    <t>Show message "Wrong card code".</t>
  </si>
  <si>
    <t>Checkout-022</t>
  </si>
  <si>
    <t>Verify dynamic flow and methods</t>
  </si>
  <si>
    <t>1. Uncheck "Ship to same address"
2. Click Continue button</t>
  </si>
  <si>
    <t>System navigates to Step 2 (Shipping address).</t>
  </si>
  <si>
    <t>Checkout-023</t>
  </si>
  <si>
    <t>Remain on Checkout screen (Step 4)</t>
  </si>
  <si>
    <t>1. Select dynamic payment method</t>
  </si>
  <si>
    <t>1.1 Select "Check / Money Order"</t>
  </si>
  <si>
    <t>Verify Step 5 changes to instruction message instead of credit card form.</t>
  </si>
  <si>
    <t>Checkout-024</t>
  </si>
  <si>
    <t>Verify Optional (Step 1)</t>
  </si>
  <si>
    <t>1. Input data
2. Click Continue</t>
  </si>
  <si>
    <t>1.1 Leave Company empty</t>
  </si>
  <si>
    <t>Company: " "</t>
  </si>
  <si>
    <t>System accepts and proceeds (Optional field).</t>
  </si>
  <si>
    <t>Checkout-025</t>
  </si>
  <si>
    <t>1.2 Input valid Company name</t>
  </si>
  <si>
    <t>Company: "QA Tester"</t>
  </si>
  <si>
    <t>System accepts and proceeds.</t>
  </si>
  <si>
    <t>Checkout-026</t>
  </si>
  <si>
    <t>1.3 Input excessive string in Company</t>
  </si>
  <si>
    <t>Company: 256 chars</t>
  </si>
  <si>
    <t>System shows length error.</t>
  </si>
  <si>
    <t>Checkout-027</t>
  </si>
  <si>
    <t>1.4 Leave Address 2 empty</t>
  </si>
  <si>
    <t>Address 2: " "</t>
  </si>
  <si>
    <t>System accepts and proceeds (Optional).</t>
  </si>
  <si>
    <t>Checkout-028</t>
  </si>
  <si>
    <t>1.5 Leave Fax empty</t>
  </si>
  <si>
    <t>Fax number:: " "</t>
  </si>
  <si>
    <t>Checkout-029</t>
  </si>
  <si>
    <t>1.6 Input alphabetic in Fax</t>
  </si>
  <si>
    <t>Fax number:: "abc"</t>
  </si>
  <si>
    <t>System shows error "Invalid Fax format".</t>
  </si>
  <si>
    <t>Checkout-030</t>
  </si>
  <si>
    <t>1.7 Input 1 character in First Name</t>
  </si>
  <si>
    <t>First name: "A"</t>
  </si>
  <si>
    <t>System accepts (Minimum boundary).</t>
  </si>
  <si>
    <t>Checkout-031</t>
  </si>
  <si>
    <t>1.8 Input only blank spaces in Last Name</t>
  </si>
  <si>
    <t>System trims spaces and shows "Last name is required".</t>
  </si>
  <si>
    <t>Checkout-032</t>
  </si>
  <si>
    <t>1.9 Input numbers in City</t>
  </si>
  <si>
    <t>City: "12345"</t>
  </si>
  <si>
    <t>System shows error message "City cannot contain numbers".</t>
  </si>
  <si>
    <t>Checkout-033</t>
  </si>
  <si>
    <t>Verify Shipping Address Logic (Step 2)</t>
  </si>
  <si>
    <t>Remain on Checkout screen (Step 2)</t>
  </si>
  <si>
    <t>1. Interact with address dropdown
2. Click Continue</t>
  </si>
  <si>
    <t>1.1 Select existing address from dropdown</t>
  </si>
  <si>
    <t>Dropdown: Select index 1</t>
  </si>
  <si>
    <t>Form auto-fills with correct saved data.</t>
  </si>
  <si>
    <t>Checkout-034</t>
  </si>
  <si>
    <t>1.2 Select "New Address" from dropdown</t>
  </si>
  <si>
    <t>Dropdown: "New Address"</t>
  </si>
  <si>
    <t>Form clears all fields for new input.</t>
  </si>
  <si>
    <t>Checkout-035</t>
  </si>
  <si>
    <t>1.3 Empty mandatory fields in Step 2</t>
  </si>
  <si>
    <t>Show message "First name is required" at Step 2.</t>
  </si>
  <si>
    <t>Checkout-036</t>
  </si>
  <si>
    <t>Verify Shipping Method options (Step 3)</t>
  </si>
  <si>
    <t>Remain on Checkout screen (Step 3)</t>
  </si>
  <si>
    <t>1. Select radio button
2. Click Continue</t>
  </si>
  <si>
    <t>1.1 Verify default selection</t>
  </si>
  <si>
    <t>"Ground ($0.00)" is selected by default.</t>
  </si>
  <si>
    <t>Checkout-037</t>
  </si>
  <si>
    <t>1.2 Select "Next Day Air"</t>
  </si>
  <si>
    <t>Selection is highlighted.</t>
  </si>
  <si>
    <t>Checkout-038</t>
  </si>
  <si>
    <t>1.3 Select "2nd Day Air"</t>
  </si>
  <si>
    <t>Checkout-039</t>
  </si>
  <si>
    <t>Verify Payment Method options (Step 4)</t>
  </si>
  <si>
    <t>"Check / Money Order" is selected by default.</t>
  </si>
  <si>
    <t>Checkout-040</t>
  </si>
  <si>
    <t>1.2 Select Credit Card</t>
  </si>
  <si>
    <t>Selection is saved, proceeds to credit card form in Step 5.</t>
  </si>
  <si>
    <t>Checkout-041</t>
  </si>
  <si>
    <t>Verify detailed CC Validation (Step 5)</t>
  </si>
  <si>
    <t>1. Input Credit Card data
2. Click Continue</t>
  </si>
  <si>
    <t>1.1 Input numbers in Cardholder Name</t>
  </si>
  <si>
    <t>Cardholder: "John 123"</t>
  </si>
  <si>
    <t>System shows error.</t>
  </si>
  <si>
    <t>Checkout-042</t>
  </si>
  <si>
    <t>1.2 Input special chars in Cardholder</t>
  </si>
  <si>
    <t>Cardholder: "!@#"</t>
  </si>
  <si>
    <t>System shows error "Invalid Cardholder Name".</t>
  </si>
  <si>
    <t>Checkout-043</t>
  </si>
  <si>
    <t>1.3 Input valid Visa format</t>
  </si>
  <si>
    <t>Card number: "4..." (16 digits)</t>
  </si>
  <si>
    <t>System identifies as Visa (if UI supports card type icon).</t>
  </si>
  <si>
    <t>Checkout-044</t>
  </si>
  <si>
    <t>1.4 Input valid MasterCard format</t>
  </si>
  <si>
    <t>Card number: "5..." (16 digits)</t>
  </si>
  <si>
    <t>System identifies as MasterCard.</t>
  </si>
  <si>
    <t>Checkout-045</t>
  </si>
  <si>
    <t>1.5 Input Card number &lt; 13 digits</t>
  </si>
  <si>
    <t>Card number: "12345678"</t>
  </si>
  <si>
    <t>System shows "Wrong card number".</t>
  </si>
  <si>
    <t>Checkout-046</t>
  </si>
  <si>
    <t>1.6 Input Card number &gt; 19 digits</t>
  </si>
  <si>
    <t>Card number: "12345678901234567890"</t>
  </si>
  <si>
    <t>Checkout-047</t>
  </si>
  <si>
    <t>1.7 Select Expiration Month = Current, Year = Current</t>
  </si>
  <si>
    <t>Exp: 04/2026</t>
  </si>
  <si>
    <t>System accepts (Card is still valid this month).</t>
  </si>
  <si>
    <t>Checkout-048</t>
  </si>
  <si>
    <t>1.8 Select Expiration Month &lt; Current, Year = Current</t>
  </si>
  <si>
    <t>Exp: 01/2026</t>
  </si>
  <si>
    <t>System shows "Card is expired".</t>
  </si>
  <si>
    <t>Checkout-049</t>
  </si>
  <si>
    <t>1.9 Input Card code = 4 digits (Amex format)</t>
  </si>
  <si>
    <t>Card code: "1234"</t>
  </si>
  <si>
    <t>System accepts if Card Number is Amex, otherwise rejects.</t>
  </si>
  <si>
    <t>Checkout-050</t>
  </si>
  <si>
    <t>1.10 Copy/Paste into Card code field</t>
  </si>
  <si>
    <t>Paste "1234" via Ctrl+V</t>
  </si>
  <si>
    <t>Paste "1234" → System accepts valid input</t>
  </si>
  <si>
    <t>Checkout-051</t>
  </si>
  <si>
    <t>Verify elements on Confirm Order (Step 6)</t>
  </si>
  <si>
    <t>Remain on Checkout screen (Step 6)</t>
  </si>
  <si>
    <t>1. Review the Confirm screen</t>
  </si>
  <si>
    <t>1.1 Check Billing Address block</t>
  </si>
  <si>
    <t>Displays full Name, Email, Phone, Fax, Company, Address exactly as inputted.</t>
  </si>
  <si>
    <t>Checkout-052</t>
  </si>
  <si>
    <t>1.2 Check Shipping Address block</t>
  </si>
  <si>
    <t>Displays exact Shipping info.</t>
  </si>
  <si>
    <t>Checkout-053</t>
  </si>
  <si>
    <t>1.3 Check Payment Method block</t>
  </si>
  <si>
    <t>Displays "Payment Method: Check / Money Order" (or Credit Card).</t>
  </si>
  <si>
    <t>Checkout-054</t>
  </si>
  <si>
    <t>1.4 Check Shipping Method block</t>
  </si>
  <si>
    <t>Displays exactly the method chosen in Step 3 (e.g., "Ground").</t>
  </si>
  <si>
    <t>Checkout-055</t>
  </si>
  <si>
    <t>1.5 Verify Product Image</t>
  </si>
  <si>
    <t>Product thumbnail loads correctly.</t>
  </si>
  <si>
    <t>Checkout-056</t>
  </si>
  <si>
    <t>1.6 Verify Product SKU &amp; Name</t>
  </si>
  <si>
    <t>Matches cart items.</t>
  </si>
  <si>
    <t>Checkout-057</t>
  </si>
  <si>
    <t>1.7 Verify Unit Price</t>
  </si>
  <si>
    <t>Price matches item price.</t>
  </si>
  <si>
    <t>Checkout-058</t>
  </si>
  <si>
    <t>1.8 Verify Quantity (Qty)</t>
  </si>
  <si>
    <t>Qty matches user's cart.</t>
  </si>
  <si>
    <t>Checkout-059</t>
  </si>
  <si>
    <t>1.9 Verify Row Total</t>
  </si>
  <si>
    <t>Row Total = Unit Price * Qty.</t>
  </si>
  <si>
    <t>Checkout-060</t>
  </si>
  <si>
    <t>1.10 Verify Gift Wrapping text</t>
  </si>
  <si>
    <t>Displays "Gift wrapping: No" (if not selected in cart).</t>
  </si>
  <si>
    <t>Checkout-061</t>
  </si>
  <si>
    <t>1.11 Verify Sub-Total</t>
  </si>
  <si>
    <t>Sum of all Row Totals.</t>
  </si>
  <si>
    <t>Checkout-062</t>
  </si>
  <si>
    <t>1.12 Verify Shipping fee value</t>
  </si>
  <si>
    <t>Matches fee from Step 3.</t>
  </si>
  <si>
    <t>Checkout-063</t>
  </si>
  <si>
    <t>1.13 Verify Tax value</t>
  </si>
  <si>
    <t>Calculates correctly based on location/logic (Default $0.00).</t>
  </si>
  <si>
    <t>Checkout-064</t>
  </si>
  <si>
    <t>1.14 Verify Final Total</t>
  </si>
  <si>
    <t>Accurate sum (Sub-Total + Shipping + Tax).</t>
  </si>
  <si>
    <t>Checkout-065</t>
  </si>
  <si>
    <t>1.15 Verify "You will earn" points</t>
  </si>
  <si>
    <t>Points calculate correctly based on Total.</t>
  </si>
  <si>
    <t>Checkout-066</t>
  </si>
  <si>
    <t>1. Click "Back" link below Total</t>
  </si>
  <si>
    <t>1.16 Click Back link on Step 6</t>
  </si>
  <si>
    <t>Returns to Step 5 (Payment info).</t>
  </si>
  <si>
    <t>Checkout-067</t>
  </si>
  <si>
    <t>Verify "Thank you" page post-checkout</t>
  </si>
  <si>
    <t>Order successfully placed</t>
  </si>
  <si>
    <t>1. View Thank you screen</t>
  </si>
  <si>
    <t>1.1 Verify Order Details link</t>
  </si>
  <si>
    <t>Clicking "Click here for order details" redirects to the Order Details page.</t>
  </si>
  <si>
    <t>Checkout-068</t>
  </si>
  <si>
    <t>1.2 Click "Continue" button</t>
  </si>
  <si>
    <t>Redirects to the Homepage.</t>
  </si>
  <si>
    <t>Checkout-069</t>
  </si>
  <si>
    <t>Verify Order Details screen (Pending status)</t>
  </si>
  <si>
    <t>Remain on Order Details page (Order #25)</t>
  </si>
  <si>
    <t>1. Verify UI and functionalities</t>
  </si>
  <si>
    <t>1.1 Verify Order status</t>
  </si>
  <si>
    <t>"Order Status" displays exactly as "Pending".</t>
  </si>
  <si>
    <t>Checkout-070</t>
  </si>
  <si>
    <t>1.2 Click "Print" button</t>
  </si>
  <si>
    <t>Opens the browser's print dialog with accurate order content.</t>
  </si>
  <si>
    <t>Checkout-071</t>
  </si>
  <si>
    <t>1.3 Click "PDF Invoice" button</t>
  </si>
  <si>
    <t>System generates and downloads an accurate PDF invoice file.</t>
  </si>
  <si>
    <t>Checkout-072</t>
  </si>
  <si>
    <t>1.4 Verify data display</t>
  </si>
  <si>
    <t>Order Date, Total, Address, and Product list match the placed order.</t>
  </si>
  <si>
    <t>Checkout-073</t>
  </si>
  <si>
    <t>Verify Cancel Order flow</t>
  </si>
  <si>
    <t>Order is in Pending status</t>
  </si>
  <si>
    <t>1. Click "Cancel order" button</t>
  </si>
  <si>
    <t>1.1 Execute cancellation</t>
  </si>
  <si>
    <t>Green banner appears: "Order has been cancelled". "Order Status" updates to "Cancelled".</t>
  </si>
  <si>
    <t>Checkout-074</t>
  </si>
  <si>
    <t>1.2 Verify "Cancel order" button visibility</t>
  </si>
  <si>
    <t>The red "Cancel order" button disappears (cannot cancel twice).</t>
  </si>
  <si>
    <t>Checkout-075</t>
  </si>
  <si>
    <t>1.3 Verify "Re-order" button visibility</t>
  </si>
  <si>
    <t>A blue "Re-order" button appears at the bottom of the page.</t>
  </si>
  <si>
    <t>Checkout-076</t>
  </si>
  <si>
    <t>1.4 Execute Re-order</t>
  </si>
  <si>
    <t>Redirects to Cart. Previous items are auto-added to the shopping cart.</t>
  </si>
  <si>
    <t>Checkout-077</t>
  </si>
  <si>
    <t>Verify Order History section</t>
  </si>
  <si>
    <t>Logged in successfully</t>
  </si>
  <si>
    <t>1. Navigate to My account &gt; Orders</t>
  </si>
  <si>
    <t>1.1 Verify order list display</t>
  </si>
  <si>
    <t>List displays correct placed orders (e.g., Order #25 Cancelled, #23 Pending).</t>
  </si>
  <si>
    <t>Checkout-078</t>
  </si>
  <si>
    <t>1. Open "Orders from" dropdown</t>
  </si>
  <si>
    <t>1.2 Filter: "the past day"</t>
  </si>
  <si>
    <t>Only displays orders placed within the last 24 hours.</t>
  </si>
  <si>
    <t>Checkout-079</t>
  </si>
  <si>
    <t>1.3 Filter: "the past week"</t>
  </si>
  <si>
    <t>Only displays orders placed within the last 7 days.</t>
  </si>
  <si>
    <t>Checkout-080</t>
  </si>
  <si>
    <t>1.4 Filter: "the past month"</t>
  </si>
  <si>
    <t>Only displays orders placed within the last 30 days.</t>
  </si>
  <si>
    <t>Checkout-081</t>
  </si>
  <si>
    <t>1.5 Filter: "the past six months"</t>
  </si>
  <si>
    <t>Only displays orders placed within the last 6 months.</t>
  </si>
  <si>
    <t>Checkout-082</t>
  </si>
  <si>
    <t>1.6 Filter: "the past year"</t>
  </si>
  <si>
    <t>Only displays orders placed within the last year.</t>
  </si>
  <si>
    <t>Checkout-083</t>
  </si>
  <si>
    <t>1.7 Filter: "all time"</t>
  </si>
  <si>
    <t>Displays the entire order history of the account.</t>
  </si>
  <si>
    <t>Checkout-084</t>
  </si>
  <si>
    <t>1. Click "Details" button on an order</t>
  </si>
  <si>
    <t>1.8 View specific order details</t>
  </si>
  <si>
    <t>Redirects correctly to the specific Order Details page for that Order Number.</t>
  </si>
  <si>
    <t>Name</t>
  </si>
  <si>
    <t>Total</t>
  </si>
  <si>
    <t>Login</t>
  </si>
  <si>
    <t>Logout</t>
  </si>
  <si>
    <t>Forgot Password</t>
  </si>
  <si>
    <t>My Account</t>
  </si>
  <si>
    <t>Checkout</t>
  </si>
  <si>
    <t>Summary</t>
  </si>
  <si>
    <t>Show message "City is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</si>
</sst>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Tahoma"/>
    </font>
    <font>
      <sz val="10"/>
      <name val="Arial"/>
    </font>
    <font>
      <sz val="10"/>
      <color theme="1"/>
      <name val="Tahoma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rgb="FFFF0000"/>
      <name val="Arial"/>
      <scheme val="minor"/>
    </font>
    <font>
      <sz val="12"/>
      <color rgb="FF000000"/>
      <name val="Arial"/>
    </font>
    <font>
      <sz val="12"/>
      <color theme="1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Tahoma"/>
      <family val="2"/>
    </font>
    <font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3B2DE"/>
        <bgColor rgb="FF63B2D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2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/>
    <xf numFmtId="0" fontId="1" fillId="0" borderId="0" xfId="0" applyFont="1" applyAlignment="1"/>
    <xf numFmtId="0" fontId="1" fillId="0" borderId="0" xfId="0" applyFont="1"/>
    <xf numFmtId="0" fontId="4" fillId="2" borderId="3" xfId="0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0" fontId="5" fillId="4" borderId="0" xfId="0" applyFont="1" applyFill="1" applyAlignment="1">
      <alignment horizontal="left" vertical="top"/>
    </xf>
    <xf numFmtId="0" fontId="1" fillId="0" borderId="5" xfId="0" applyFont="1" applyBorder="1" applyAlignment="1"/>
    <xf numFmtId="0" fontId="7" fillId="0" borderId="0" xfId="0" applyFont="1"/>
    <xf numFmtId="0" fontId="2" fillId="2" borderId="3" xfId="0" applyFont="1" applyFill="1" applyBorder="1" applyAlignment="1">
      <alignment horizontal="center"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" fillId="0" borderId="5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0" fillId="0" borderId="9" xfId="0" applyBorder="1" applyAlignment="1">
      <alignment vertical="center" wrapText="1"/>
    </xf>
    <xf numFmtId="0" fontId="1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0" fillId="0" borderId="0" xfId="0" applyFont="1" applyAlignment="1"/>
    <xf numFmtId="0" fontId="13" fillId="0" borderId="9" xfId="0" applyFont="1" applyBorder="1" applyAlignment="1">
      <alignment vertical="center" wrapText="1"/>
    </xf>
    <xf numFmtId="0" fontId="0" fillId="0" borderId="9" xfId="0" applyFont="1" applyBorder="1" applyAlignment="1"/>
    <xf numFmtId="0" fontId="2" fillId="3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vertical="center" wrapText="1"/>
    </xf>
    <xf numFmtId="0" fontId="1" fillId="3" borderId="12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vertical="top"/>
    </xf>
    <xf numFmtId="0" fontId="0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2" borderId="14" xfId="0" applyFont="1" applyFill="1" applyBorder="1" applyAlignment="1">
      <alignment horizontal="center" vertical="top"/>
    </xf>
    <xf numFmtId="0" fontId="6" fillId="2" borderId="14" xfId="0" applyFont="1" applyFill="1" applyBorder="1" applyAlignment="1">
      <alignment vertical="top"/>
    </xf>
    <xf numFmtId="0" fontId="1" fillId="5" borderId="9" xfId="0" applyFont="1" applyFill="1" applyBorder="1" applyAlignment="1">
      <alignment vertical="top"/>
    </xf>
    <xf numFmtId="0" fontId="13" fillId="0" borderId="13" xfId="0" applyFont="1" applyBorder="1" applyAlignment="1">
      <alignment vertical="center" wrapText="1"/>
    </xf>
    <xf numFmtId="0" fontId="2" fillId="2" borderId="14" xfId="0" applyFont="1" applyFill="1" applyBorder="1" applyAlignment="1">
      <alignment horizontal="center" vertical="top"/>
    </xf>
    <xf numFmtId="0" fontId="5" fillId="2" borderId="14" xfId="0" applyFont="1" applyFill="1" applyBorder="1" applyAlignment="1">
      <alignment vertical="top"/>
    </xf>
    <xf numFmtId="0" fontId="7" fillId="0" borderId="9" xfId="0" applyFont="1" applyBorder="1" applyAlignment="1">
      <alignment vertical="top"/>
    </xf>
    <xf numFmtId="0" fontId="0" fillId="0" borderId="0" xfId="0" applyFont="1" applyAlignment="1"/>
    <xf numFmtId="0" fontId="13" fillId="0" borderId="9" xfId="0" applyFont="1" applyBorder="1" applyAlignment="1">
      <alignment vertical="top"/>
    </xf>
    <xf numFmtId="0" fontId="0" fillId="0" borderId="0" xfId="0" applyFont="1" applyAlignment="1"/>
    <xf numFmtId="0" fontId="0" fillId="0" borderId="2" xfId="0" applyFont="1" applyBorder="1" applyAlignment="1">
      <alignment vertical="center"/>
    </xf>
    <xf numFmtId="0" fontId="15" fillId="0" borderId="9" xfId="1" applyFont="1" applyBorder="1" applyAlignment="1">
      <alignment horizontal="left" vertical="center" wrapText="1"/>
    </xf>
    <xf numFmtId="0" fontId="15" fillId="0" borderId="9" xfId="1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0" fillId="0" borderId="0" xfId="0" applyFont="1" applyAlignment="1"/>
    <xf numFmtId="0" fontId="13" fillId="0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wrapText="1"/>
    </xf>
    <xf numFmtId="0" fontId="0" fillId="0" borderId="0" xfId="0" applyFont="1" applyAlignment="1"/>
    <xf numFmtId="0" fontId="1" fillId="0" borderId="9" xfId="0" applyFont="1" applyBorder="1" applyAlignment="1">
      <alignment vertical="top" wrapText="1"/>
    </xf>
    <xf numFmtId="0" fontId="0" fillId="0" borderId="0" xfId="0" applyBorder="1" applyAlignment="1">
      <alignment vertical="center" wrapText="1"/>
    </xf>
    <xf numFmtId="0" fontId="16" fillId="0" borderId="0" xfId="0" applyFont="1" applyBorder="1" applyAlignment="1">
      <alignment vertical="top"/>
    </xf>
    <xf numFmtId="0" fontId="0" fillId="0" borderId="9" xfId="0" applyFont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0" fillId="0" borderId="9" xfId="0" applyFont="1" applyBorder="1" applyAlignment="1">
      <alignment vertical="center" wrapText="1"/>
    </xf>
    <xf numFmtId="0" fontId="1" fillId="0" borderId="9" xfId="0" applyFont="1" applyBorder="1"/>
    <xf numFmtId="0" fontId="13" fillId="0" borderId="9" xfId="0" applyFont="1" applyBorder="1" applyAlignment="1"/>
    <xf numFmtId="0" fontId="0" fillId="0" borderId="0" xfId="0" applyFont="1" applyAlignment="1"/>
    <xf numFmtId="0" fontId="0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0" borderId="0" xfId="0" applyFont="1" applyAlignment="1">
      <alignment vertical="top"/>
    </xf>
    <xf numFmtId="0" fontId="0" fillId="0" borderId="0" xfId="0" applyFont="1" applyAlignment="1"/>
    <xf numFmtId="0" fontId="0" fillId="0" borderId="0" xfId="0" applyBorder="1" applyAlignment="1">
      <alignment horizontal="left" vertical="center" wrapText="1"/>
    </xf>
    <xf numFmtId="0" fontId="1" fillId="0" borderId="1" xfId="0" applyFont="1" applyBorder="1" applyAlignment="1"/>
    <xf numFmtId="0" fontId="1" fillId="0" borderId="1" xfId="0" applyFont="1" applyBorder="1"/>
    <xf numFmtId="0" fontId="10" fillId="6" borderId="5" xfId="0" applyFont="1" applyFill="1" applyBorder="1" applyAlignment="1">
      <alignment horizontal="center"/>
    </xf>
    <xf numFmtId="0" fontId="1" fillId="7" borderId="9" xfId="0" applyFont="1" applyFill="1" applyBorder="1" applyAlignment="1"/>
    <xf numFmtId="0" fontId="0" fillId="7" borderId="9" xfId="0" applyFont="1" applyFill="1" applyBorder="1" applyAlignment="1"/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3" fillId="0" borderId="14" xfId="0" applyFont="1" applyBorder="1" applyAlignment="1"/>
    <xf numFmtId="0" fontId="4" fillId="2" borderId="8" xfId="0" applyFont="1" applyFill="1" applyBorder="1" applyAlignment="1">
      <alignment horizontal="center" vertical="top"/>
    </xf>
    <xf numFmtId="0" fontId="3" fillId="0" borderId="3" xfId="0" applyFont="1" applyBorder="1" applyAlignment="1"/>
    <xf numFmtId="0" fontId="4" fillId="2" borderId="1" xfId="0" applyFont="1" applyFill="1" applyBorder="1" applyAlignment="1">
      <alignment horizontal="center" vertical="top"/>
    </xf>
    <xf numFmtId="0" fontId="3" fillId="0" borderId="6" xfId="0" applyFont="1" applyBorder="1" applyAlignment="1"/>
    <xf numFmtId="0" fontId="2" fillId="2" borderId="7" xfId="0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Font="1" applyAlignment="1"/>
    <xf numFmtId="0" fontId="2" fillId="2" borderId="1" xfId="0" applyFont="1" applyFill="1" applyBorder="1" applyAlignment="1">
      <alignment horizontal="center" vertical="top"/>
    </xf>
    <xf numFmtId="0" fontId="3" fillId="0" borderId="4" xfId="0" applyFont="1" applyBorder="1" applyAlignment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/>
    </xf>
    <xf numFmtId="0" fontId="0" fillId="0" borderId="0" xfId="0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top"/>
    </xf>
    <xf numFmtId="0" fontId="13" fillId="0" borderId="9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11" fillId="6" borderId="0" xfId="0" applyFont="1" applyFill="1" applyAlignment="1">
      <alignment horizontal="center"/>
    </xf>
    <xf numFmtId="0" fontId="0" fillId="6" borderId="0" xfId="0" applyFont="1" applyFill="1" applyAlignment="1"/>
    <xf numFmtId="0" fontId="10" fillId="6" borderId="1" xfId="0" applyFont="1" applyFill="1" applyBorder="1" applyAlignment="1">
      <alignment horizontal="center"/>
    </xf>
    <xf numFmtId="0" fontId="3" fillId="6" borderId="4" xfId="0" applyFont="1" applyFill="1" applyBorder="1" applyAlignment="1"/>
    <xf numFmtId="0" fontId="10" fillId="6" borderId="2" xfId="0" applyFont="1" applyFill="1" applyBorder="1" applyAlignment="1">
      <alignment horizontal="center"/>
    </xf>
    <xf numFmtId="0" fontId="3" fillId="6" borderId="8" xfId="0" applyFont="1" applyFill="1" applyBorder="1" applyAlignment="1"/>
    <xf numFmtId="0" fontId="3" fillId="6" borderId="3" xfId="0" applyFont="1" applyFill="1" applyBorder="1" applyAlignment="1"/>
  </cellXfs>
  <cellStyles count="2">
    <cellStyle name="Hyperlink" xfId="1" builtinId="8"/>
    <cellStyle name="Normal" xfId="0" builtinId="0"/>
  </cellStyles>
  <dxfs count="120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theme="9" tint="0.59996337778862885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theme="9" tint="0.79998168889431442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theme="9" tint="0.79998168889431442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rgb="FFFFFFFF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theme="9" tint="0.79998168889431442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New Customer-style" pivot="0" count="3">
      <tableStyleElement type="headerRow" dxfId="119"/>
      <tableStyleElement type="firstRowStripe" dxfId="118"/>
      <tableStyleElement type="secondRowStripe" dxfId="117"/>
    </tableStyle>
  </tableStyles>
  <colors>
    <mruColors>
      <color rgb="FFFEF4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Login</a:t>
            </a:r>
            <a:r>
              <a:rPr lang="en-US" b="0" baseline="0">
                <a:solidFill>
                  <a:srgbClr val="757575"/>
                </a:solidFill>
                <a:latin typeface="+mn-lt"/>
              </a:rPr>
              <a:t> - C</a:t>
            </a:r>
            <a:r>
              <a:rPr lang="en-US" b="0">
                <a:solidFill>
                  <a:srgbClr val="757575"/>
                </a:solidFill>
                <a:latin typeface="+mn-lt"/>
              </a:rPr>
              <a:t>hrome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38761D"/>
              </a:solidFill>
            </c:spPr>
            <c:extLst>
              <c:ext xmlns:c16="http://schemas.microsoft.com/office/drawing/2014/chart" uri="{C3380CC4-5D6E-409C-BE32-E72D297353CC}">
                <c16:uniqueId val="{00000001-AD07-485B-9E22-5260F08B52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'Summary '!$C$2:$E$2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'!$C$3:$E$3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07-485B-9E22-5260F08B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Login - Microsoft Edge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38761D"/>
              </a:solidFill>
            </c:spPr>
            <c:extLst>
              <c:ext xmlns:c16="http://schemas.microsoft.com/office/drawing/2014/chart" uri="{C3380CC4-5D6E-409C-BE32-E72D297353CC}">
                <c16:uniqueId val="{00000001-DC1F-42EF-AF12-19E8ACE6D08C}"/>
              </c:ext>
            </c:extLst>
          </c:dPt>
          <c:cat>
            <c:strRef>
              <c:f>'Summary '!$F$2:$H$2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'!$F$3:$H$3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1F-42EF-AF12-19E8ACE6D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Logout</a:t>
            </a:r>
            <a:r>
              <a:rPr lang="en-US" b="0" baseline="0">
                <a:solidFill>
                  <a:srgbClr val="757575"/>
                </a:solidFill>
                <a:latin typeface="+mn-lt"/>
              </a:rPr>
              <a:t> - C</a:t>
            </a:r>
            <a:r>
              <a:rPr lang="en-US" b="0">
                <a:solidFill>
                  <a:srgbClr val="757575"/>
                </a:solidFill>
                <a:latin typeface="+mn-lt"/>
              </a:rPr>
              <a:t>hrome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2F66-4938-8E64-B28E37C96143}"/>
              </c:ext>
            </c:extLst>
          </c:dPt>
          <c:cat>
            <c:strRef>
              <c:f>'Summary '!$C$2:$E$2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'!$C$4:$E$4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7-437F-8A26-526CA18EB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Logout - Microsoft Edge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0846-43A3-82F3-3C8D169093E1}"/>
              </c:ext>
            </c:extLst>
          </c:dPt>
          <c:cat>
            <c:strRef>
              <c:f>'Summary '!$F$2:$H$2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'!$F$4:$H$4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58-4ACB-845B-306570B6A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baseline="0">
                <a:effectLst/>
              </a:rPr>
              <a:t>Forgot Password</a:t>
            </a:r>
            <a:r>
              <a:rPr lang="en-US" b="0">
                <a:solidFill>
                  <a:srgbClr val="757575"/>
                </a:solidFill>
                <a:latin typeface="+mn-lt"/>
              </a:rPr>
              <a:t> - Microsoft Edge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E7F7-4560-8EA8-85DBEFE1BE12}"/>
              </c:ext>
            </c:extLst>
          </c:dPt>
          <c:cat>
            <c:strRef>
              <c:f>'Summary '!$F$2:$H$2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'!$F$5:$H$5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48-45DB-BA1F-38A94CB8B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baseline="0">
                <a:effectLst/>
              </a:rPr>
              <a:t>My Account</a:t>
            </a:r>
            <a:r>
              <a:rPr lang="en-US" b="0">
                <a:solidFill>
                  <a:srgbClr val="757575"/>
                </a:solidFill>
                <a:latin typeface="+mn-lt"/>
              </a:rPr>
              <a:t> - Microsoft Edge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885D-469A-B9A6-876DF1E91B31}"/>
              </c:ext>
            </c:extLst>
          </c:dPt>
          <c:cat>
            <c:strRef>
              <c:f>'Summary '!$F$2:$H$2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'!$F$6:$H$6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77-4ABA-A6FD-746E129F2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baseline="0">
                <a:effectLst/>
              </a:rPr>
              <a:t>Checkout</a:t>
            </a:r>
            <a:r>
              <a:rPr lang="en-US" b="0">
                <a:solidFill>
                  <a:srgbClr val="757575"/>
                </a:solidFill>
                <a:latin typeface="+mn-lt"/>
              </a:rPr>
              <a:t> - Microsoft Edge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0344-43F4-A509-6F6811C1F669}"/>
              </c:ext>
            </c:extLst>
          </c:dPt>
          <c:cat>
            <c:strRef>
              <c:f>'Summary '!$F$2:$H$2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'!$F$7:$H$7</c:f>
              <c:numCache>
                <c:formatCode>General</c:formatCode>
                <c:ptCount val="3"/>
                <c:pt idx="0">
                  <c:v>66</c:v>
                </c:pt>
                <c:pt idx="1">
                  <c:v>17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E4-4AC1-99D9-28A62F7C1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 baseline="0">
                <a:solidFill>
                  <a:srgbClr val="757575"/>
                </a:solidFill>
                <a:latin typeface="+mn-lt"/>
              </a:rPr>
              <a:t>Forgot Password - C</a:t>
            </a:r>
            <a:r>
              <a:rPr lang="en-US" b="0">
                <a:solidFill>
                  <a:srgbClr val="757575"/>
                </a:solidFill>
                <a:latin typeface="+mn-lt"/>
              </a:rPr>
              <a:t>hrome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C738-4A2B-A792-41674C20C060}"/>
              </c:ext>
            </c:extLst>
          </c:dPt>
          <c:cat>
            <c:strRef>
              <c:f>'Summary '!$C$2:$E$2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'!$C$5:$E$5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3D-442E-8885-D6B709C07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My Account</a:t>
            </a:r>
            <a:r>
              <a:rPr lang="en-US" b="0" baseline="0">
                <a:solidFill>
                  <a:srgbClr val="757575"/>
                </a:solidFill>
                <a:latin typeface="+mn-lt"/>
              </a:rPr>
              <a:t> - C</a:t>
            </a:r>
            <a:r>
              <a:rPr lang="en-US" b="0">
                <a:solidFill>
                  <a:srgbClr val="757575"/>
                </a:solidFill>
                <a:latin typeface="+mn-lt"/>
              </a:rPr>
              <a:t>hrome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DBC2-4BC2-B40C-3144709D5F76}"/>
              </c:ext>
            </c:extLst>
          </c:dPt>
          <c:cat>
            <c:strRef>
              <c:f>'Summary '!$C$2:$E$2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'!$C$6:$E$6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2-45BA-BCF8-35A573337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Checkout</a:t>
            </a:r>
            <a:r>
              <a:rPr lang="en-US" b="0" baseline="0">
                <a:solidFill>
                  <a:srgbClr val="757575"/>
                </a:solidFill>
                <a:latin typeface="+mn-lt"/>
              </a:rPr>
              <a:t> - C</a:t>
            </a:r>
            <a:r>
              <a:rPr lang="en-US" b="0">
                <a:solidFill>
                  <a:srgbClr val="757575"/>
                </a:solidFill>
                <a:latin typeface="+mn-lt"/>
              </a:rPr>
              <a:t>hrome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3D3A-4567-A6BA-9129BB923505}"/>
              </c:ext>
            </c:extLst>
          </c:dPt>
          <c:cat>
            <c:strRef>
              <c:f>'Summary '!$C$2:$E$2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Un-test</c:v>
                </c:pt>
              </c:strCache>
            </c:strRef>
          </c:cat>
          <c:val>
            <c:numRef>
              <c:f>'Summary '!$C$7:$E$7</c:f>
              <c:numCache>
                <c:formatCode>General</c:formatCode>
                <c:ptCount val="3"/>
                <c:pt idx="0">
                  <c:v>66</c:v>
                </c:pt>
                <c:pt idx="1">
                  <c:v>17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5-4B56-8A4D-50E89A412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269672</xdr:colOff>
      <xdr:row>1</xdr:row>
      <xdr:rowOff>14432</xdr:rowOff>
    </xdr:from>
    <xdr:ext cx="4680442" cy="3434774"/>
    <xdr:graphicFrame macro="">
      <xdr:nvGraphicFramePr>
        <xdr:cNvPr id="2" name="Chart 1" title="Biểu đồ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377825</xdr:colOff>
      <xdr:row>0</xdr:row>
      <xdr:rowOff>111124</xdr:rowOff>
    </xdr:from>
    <xdr:ext cx="4724400" cy="3559783"/>
    <xdr:graphicFrame macro="">
      <xdr:nvGraphicFramePr>
        <xdr:cNvPr id="3" name="Chart 2" title="Biểu đồ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251114</xdr:colOff>
      <xdr:row>20</xdr:row>
      <xdr:rowOff>173181</xdr:rowOff>
    </xdr:from>
    <xdr:ext cx="4756727" cy="3520625"/>
    <xdr:graphicFrame macro="">
      <xdr:nvGraphicFramePr>
        <xdr:cNvPr id="8" name="Chart 7" title="Biểu đồ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461819</xdr:colOff>
      <xdr:row>20</xdr:row>
      <xdr:rowOff>187614</xdr:rowOff>
    </xdr:from>
    <xdr:ext cx="4724400" cy="3559783"/>
    <xdr:graphicFrame macro="">
      <xdr:nvGraphicFramePr>
        <xdr:cNvPr id="9" name="Chart 8" title="Biểu đồ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14</xdr:col>
      <xdr:colOff>375227</xdr:colOff>
      <xdr:row>41</xdr:row>
      <xdr:rowOff>-1</xdr:rowOff>
    </xdr:from>
    <xdr:ext cx="4724400" cy="3559783"/>
    <xdr:graphicFrame macro="">
      <xdr:nvGraphicFramePr>
        <xdr:cNvPr id="11" name="Chart 10" title="Biểu đồ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14</xdr:col>
      <xdr:colOff>331932</xdr:colOff>
      <xdr:row>61</xdr:row>
      <xdr:rowOff>43295</xdr:rowOff>
    </xdr:from>
    <xdr:ext cx="4724400" cy="3559783"/>
    <xdr:graphicFrame macro="">
      <xdr:nvGraphicFramePr>
        <xdr:cNvPr id="12" name="Chart 11" title="Biểu đồ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14</xdr:col>
      <xdr:colOff>331932</xdr:colOff>
      <xdr:row>80</xdr:row>
      <xdr:rowOff>158750</xdr:rowOff>
    </xdr:from>
    <xdr:ext cx="4724400" cy="3559783"/>
    <xdr:graphicFrame macro="">
      <xdr:nvGraphicFramePr>
        <xdr:cNvPr id="13" name="Chart 12" title="Biểu đồ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8</xdr:col>
      <xdr:colOff>317500</xdr:colOff>
      <xdr:row>40</xdr:row>
      <xdr:rowOff>187614</xdr:rowOff>
    </xdr:from>
    <xdr:ext cx="4680442" cy="3434774"/>
    <xdr:graphicFrame macro="">
      <xdr:nvGraphicFramePr>
        <xdr:cNvPr id="14" name="Chart 13" title="Biểu đồ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8</xdr:col>
      <xdr:colOff>288636</xdr:colOff>
      <xdr:row>61</xdr:row>
      <xdr:rowOff>0</xdr:rowOff>
    </xdr:from>
    <xdr:ext cx="4680442" cy="3434774"/>
    <xdr:graphicFrame macro="">
      <xdr:nvGraphicFramePr>
        <xdr:cNvPr id="15" name="Chart 14" title="Biểu đồ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8</xdr:col>
      <xdr:colOff>202046</xdr:colOff>
      <xdr:row>80</xdr:row>
      <xdr:rowOff>101024</xdr:rowOff>
    </xdr:from>
    <xdr:ext cx="4680442" cy="3434774"/>
    <xdr:graphicFrame macro="">
      <xdr:nvGraphicFramePr>
        <xdr:cNvPr id="16" name="Chart 15" title="Biểu đồ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huyen@2004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verylongemail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verylongemail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zoomScale="80" zoomScaleNormal="96" workbookViewId="0">
      <selection activeCell="A10" sqref="A10:XFD10"/>
    </sheetView>
  </sheetViews>
  <sheetFormatPr defaultColWidth="12.54296875" defaultRowHeight="12.5" x14ac:dyDescent="0.25"/>
  <cols>
    <col min="1" max="1" width="9.81640625" customWidth="1"/>
    <col min="2" max="2" width="29.81640625" customWidth="1"/>
    <col min="3" max="3" width="18.54296875" customWidth="1"/>
    <col min="4" max="4" width="28" customWidth="1"/>
    <col min="5" max="5" width="51.453125" customWidth="1"/>
    <col min="6" max="6" width="25.453125" customWidth="1"/>
    <col min="8" max="8" width="46.453125" customWidth="1"/>
    <col min="14" max="14" width="62.26953125" customWidth="1"/>
  </cols>
  <sheetData>
    <row r="1" spans="1:26" x14ac:dyDescent="0.25">
      <c r="A1" s="77" t="s">
        <v>0</v>
      </c>
      <c r="B1" s="79" t="s">
        <v>1</v>
      </c>
      <c r="C1" s="77" t="s">
        <v>2</v>
      </c>
      <c r="D1" s="77" t="s">
        <v>3</v>
      </c>
      <c r="E1" s="77" t="s">
        <v>4</v>
      </c>
      <c r="F1" s="86" t="s">
        <v>5</v>
      </c>
      <c r="G1" s="77" t="s">
        <v>6</v>
      </c>
      <c r="H1" s="86" t="s">
        <v>7</v>
      </c>
      <c r="I1" s="88" t="s">
        <v>8</v>
      </c>
      <c r="J1" s="89"/>
      <c r="K1" s="77" t="s">
        <v>9</v>
      </c>
      <c r="L1" s="77" t="s">
        <v>10</v>
      </c>
      <c r="M1" s="77" t="s">
        <v>11</v>
      </c>
      <c r="N1" s="77" t="s">
        <v>12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x14ac:dyDescent="0.25">
      <c r="A2" s="78"/>
      <c r="B2" s="78"/>
      <c r="C2" s="78"/>
      <c r="D2" s="78"/>
      <c r="E2" s="78"/>
      <c r="F2" s="87"/>
      <c r="G2" s="78"/>
      <c r="H2" s="78"/>
      <c r="I2" s="63" t="s">
        <v>13</v>
      </c>
      <c r="J2" s="63" t="s">
        <v>14</v>
      </c>
      <c r="K2" s="78"/>
      <c r="L2" s="78"/>
      <c r="M2" s="78"/>
      <c r="N2" s="78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s="29" customFormat="1" ht="25" x14ac:dyDescent="0.25">
      <c r="A3" s="18" t="s">
        <v>15</v>
      </c>
      <c r="B3" s="83" t="s">
        <v>16</v>
      </c>
      <c r="C3" s="84" t="s">
        <v>17</v>
      </c>
      <c r="D3" s="85" t="s">
        <v>18</v>
      </c>
      <c r="E3" s="22"/>
      <c r="F3" s="42" t="s">
        <v>19</v>
      </c>
      <c r="G3" s="17" t="s">
        <v>20</v>
      </c>
      <c r="H3" s="18" t="s">
        <v>21</v>
      </c>
      <c r="I3" s="19" t="s">
        <v>22</v>
      </c>
      <c r="J3" s="19" t="s">
        <v>22</v>
      </c>
      <c r="K3" s="17"/>
      <c r="L3" s="17"/>
      <c r="M3" s="17"/>
      <c r="N3" s="17"/>
    </row>
    <row r="4" spans="1:26" s="29" customFormat="1" ht="25" x14ac:dyDescent="0.25">
      <c r="A4" s="18" t="s">
        <v>23</v>
      </c>
      <c r="B4" s="83"/>
      <c r="C4" s="84"/>
      <c r="D4" s="85"/>
      <c r="E4" s="22" t="s">
        <v>24</v>
      </c>
      <c r="F4" s="42" t="s">
        <v>25</v>
      </c>
      <c r="G4" s="17" t="s">
        <v>26</v>
      </c>
      <c r="H4" s="18" t="s">
        <v>27</v>
      </c>
      <c r="I4" s="19" t="s">
        <v>22</v>
      </c>
      <c r="J4" s="19" t="s">
        <v>22</v>
      </c>
      <c r="K4" s="17"/>
      <c r="L4" s="17"/>
      <c r="M4" s="17"/>
      <c r="N4" s="17"/>
    </row>
    <row r="5" spans="1:26" s="29" customFormat="1" ht="25" customHeight="1" x14ac:dyDescent="0.25">
      <c r="A5" s="18" t="s">
        <v>28</v>
      </c>
      <c r="B5" s="83"/>
      <c r="C5" s="84"/>
      <c r="D5" s="85"/>
      <c r="E5" s="62" t="s">
        <v>29</v>
      </c>
      <c r="F5" s="42" t="s">
        <v>30</v>
      </c>
      <c r="G5" s="19" t="s">
        <v>31</v>
      </c>
      <c r="H5" s="22" t="s">
        <v>32</v>
      </c>
      <c r="I5" s="19" t="s">
        <v>22</v>
      </c>
      <c r="J5" s="19" t="s">
        <v>22</v>
      </c>
      <c r="K5" s="17"/>
      <c r="L5" s="17"/>
      <c r="M5" s="17"/>
      <c r="N5" s="17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x14ac:dyDescent="0.25">
      <c r="A6" s="18" t="s">
        <v>33</v>
      </c>
      <c r="B6" s="80" t="s">
        <v>34</v>
      </c>
      <c r="C6" s="75" t="s">
        <v>17</v>
      </c>
      <c r="D6" s="75" t="s">
        <v>35</v>
      </c>
      <c r="E6" s="65" t="s">
        <v>36</v>
      </c>
      <c r="F6" s="64" t="s">
        <v>37</v>
      </c>
      <c r="G6" s="24" t="s">
        <v>26</v>
      </c>
      <c r="H6" s="25" t="s">
        <v>38</v>
      </c>
      <c r="I6" s="26" t="s">
        <v>22</v>
      </c>
      <c r="J6" s="26" t="s">
        <v>22</v>
      </c>
      <c r="K6" s="27"/>
      <c r="L6" s="27"/>
      <c r="M6" s="27"/>
      <c r="N6" s="2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x14ac:dyDescent="0.25">
      <c r="A7" s="18" t="s">
        <v>39</v>
      </c>
      <c r="B7" s="80"/>
      <c r="C7" s="80"/>
      <c r="D7" s="80"/>
      <c r="E7" s="59" t="s">
        <v>40</v>
      </c>
      <c r="F7" s="42" t="s">
        <v>41</v>
      </c>
      <c r="G7" s="20" t="s">
        <v>20</v>
      </c>
      <c r="H7" s="22" t="s">
        <v>42</v>
      </c>
      <c r="I7" s="19" t="s">
        <v>22</v>
      </c>
      <c r="J7" s="19" t="s">
        <v>22</v>
      </c>
      <c r="K7" s="17"/>
      <c r="L7" s="17"/>
      <c r="M7" s="17"/>
      <c r="N7" s="1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x14ac:dyDescent="0.25">
      <c r="A8" s="18" t="s">
        <v>43</v>
      </c>
      <c r="B8" s="80"/>
      <c r="C8" s="80"/>
      <c r="D8" s="80"/>
      <c r="E8" s="59" t="s">
        <v>44</v>
      </c>
      <c r="F8" s="62" t="s">
        <v>45</v>
      </c>
      <c r="G8" s="20" t="s">
        <v>31</v>
      </c>
      <c r="H8" s="22" t="s">
        <v>46</v>
      </c>
      <c r="I8" s="19" t="s">
        <v>22</v>
      </c>
      <c r="J8" s="19" t="s">
        <v>22</v>
      </c>
      <c r="K8" s="17"/>
      <c r="L8" s="17"/>
      <c r="M8" s="17"/>
      <c r="N8" s="1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s="16" customFormat="1" x14ac:dyDescent="0.25">
      <c r="A9" s="18" t="s">
        <v>47</v>
      </c>
      <c r="B9" s="80"/>
      <c r="C9" s="80"/>
      <c r="D9" s="80"/>
      <c r="E9" s="62" t="s">
        <v>48</v>
      </c>
      <c r="F9" s="62" t="s">
        <v>49</v>
      </c>
      <c r="G9" s="20" t="s">
        <v>20</v>
      </c>
      <c r="H9" s="22" t="s">
        <v>46</v>
      </c>
      <c r="I9" s="19" t="s">
        <v>50</v>
      </c>
      <c r="J9" s="19" t="s">
        <v>50</v>
      </c>
      <c r="K9" s="17"/>
      <c r="L9" s="17"/>
      <c r="M9" s="17"/>
      <c r="N9" s="1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s="21" customFormat="1" ht="25" x14ac:dyDescent="0.25">
      <c r="A10" s="18" t="s">
        <v>51</v>
      </c>
      <c r="B10" s="80"/>
      <c r="C10" s="80"/>
      <c r="D10" s="80"/>
      <c r="E10" s="62" t="s">
        <v>52</v>
      </c>
      <c r="F10" s="42" t="s">
        <v>53</v>
      </c>
      <c r="G10" s="19" t="s">
        <v>31</v>
      </c>
      <c r="H10" s="18" t="s">
        <v>54</v>
      </c>
      <c r="I10" s="19" t="s">
        <v>55</v>
      </c>
      <c r="J10" s="19" t="s">
        <v>55</v>
      </c>
      <c r="K10" s="17"/>
      <c r="L10" s="17"/>
      <c r="M10" s="17"/>
      <c r="N10" s="1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s="21" customFormat="1" x14ac:dyDescent="0.25">
      <c r="A11" s="18" t="s">
        <v>56</v>
      </c>
      <c r="B11" s="80"/>
      <c r="C11" s="80"/>
      <c r="D11" s="80"/>
      <c r="E11" s="62" t="s">
        <v>57</v>
      </c>
      <c r="F11" s="62" t="s">
        <v>58</v>
      </c>
      <c r="G11" s="17" t="s">
        <v>31</v>
      </c>
      <c r="H11" s="18" t="s">
        <v>46</v>
      </c>
      <c r="I11" s="19" t="s">
        <v>55</v>
      </c>
      <c r="J11" s="19" t="s">
        <v>55</v>
      </c>
      <c r="K11" s="17"/>
      <c r="L11" s="17"/>
      <c r="M11" s="17"/>
      <c r="N11" s="1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x14ac:dyDescent="0.25">
      <c r="A12" s="18" t="s">
        <v>59</v>
      </c>
      <c r="B12" s="81"/>
      <c r="C12" s="81"/>
      <c r="D12" s="81"/>
      <c r="E12" s="62" t="s">
        <v>60</v>
      </c>
      <c r="F12" s="62" t="s">
        <v>61</v>
      </c>
      <c r="G12" s="20" t="s">
        <v>31</v>
      </c>
      <c r="H12" s="22" t="s">
        <v>46</v>
      </c>
      <c r="I12" s="19" t="s">
        <v>22</v>
      </c>
      <c r="J12" s="19" t="s">
        <v>22</v>
      </c>
      <c r="K12" s="17"/>
      <c r="L12" s="17"/>
      <c r="M12" s="17"/>
      <c r="N12" s="1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x14ac:dyDescent="0.25">
      <c r="A13" s="18" t="s">
        <v>62</v>
      </c>
      <c r="B13" s="82" t="s">
        <v>63</v>
      </c>
      <c r="C13" s="74" t="s">
        <v>17</v>
      </c>
      <c r="D13" s="74" t="s">
        <v>64</v>
      </c>
      <c r="E13" s="59" t="s">
        <v>65</v>
      </c>
      <c r="F13" s="62" t="s">
        <v>66</v>
      </c>
      <c r="G13" s="20" t="s">
        <v>26</v>
      </c>
      <c r="H13" s="22" t="s">
        <v>67</v>
      </c>
      <c r="I13" s="19" t="s">
        <v>55</v>
      </c>
      <c r="J13" s="19" t="s">
        <v>55</v>
      </c>
      <c r="K13" s="17"/>
      <c r="L13" s="17"/>
      <c r="M13" s="17"/>
      <c r="N13" s="23" t="s">
        <v>68</v>
      </c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x14ac:dyDescent="0.25">
      <c r="A14" s="18" t="s">
        <v>69</v>
      </c>
      <c r="B14" s="80"/>
      <c r="C14" s="75"/>
      <c r="D14" s="75"/>
      <c r="E14" s="59" t="s">
        <v>70</v>
      </c>
      <c r="F14" s="42" t="s">
        <v>71</v>
      </c>
      <c r="G14" s="17" t="s">
        <v>26</v>
      </c>
      <c r="H14" s="22" t="s">
        <v>42</v>
      </c>
      <c r="I14" s="19" t="s">
        <v>22</v>
      </c>
      <c r="J14" s="19" t="s">
        <v>22</v>
      </c>
      <c r="K14" s="17"/>
      <c r="L14" s="17"/>
      <c r="M14" s="17"/>
      <c r="N14" s="1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s="21" customFormat="1" ht="25" x14ac:dyDescent="0.25">
      <c r="A15" s="18" t="s">
        <v>72</v>
      </c>
      <c r="B15" s="80"/>
      <c r="C15" s="75"/>
      <c r="D15" s="75"/>
      <c r="E15" s="62" t="s">
        <v>73</v>
      </c>
      <c r="F15" s="62" t="s">
        <v>74</v>
      </c>
      <c r="G15" s="17" t="s">
        <v>31</v>
      </c>
      <c r="H15" s="18" t="s">
        <v>75</v>
      </c>
      <c r="I15" s="19" t="s">
        <v>55</v>
      </c>
      <c r="J15" s="19" t="s">
        <v>55</v>
      </c>
      <c r="K15" s="17"/>
      <c r="L15" s="17"/>
      <c r="M15" s="17"/>
      <c r="N15" s="1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25" x14ac:dyDescent="0.25">
      <c r="A16" s="18" t="s">
        <v>76</v>
      </c>
      <c r="B16" s="81"/>
      <c r="C16" s="76"/>
      <c r="D16" s="76"/>
      <c r="E16" s="62" t="s">
        <v>77</v>
      </c>
      <c r="F16" s="62" t="s">
        <v>78</v>
      </c>
      <c r="G16" s="19" t="s">
        <v>20</v>
      </c>
      <c r="H16" s="22" t="s">
        <v>79</v>
      </c>
      <c r="I16" s="19" t="s">
        <v>55</v>
      </c>
      <c r="J16" s="19" t="s">
        <v>55</v>
      </c>
      <c r="K16" s="19"/>
      <c r="L16" s="19"/>
      <c r="M16" s="19"/>
      <c r="N16" s="19"/>
      <c r="O16" s="2"/>
      <c r="P16" s="2"/>
      <c r="Q16" s="3"/>
      <c r="R16" s="2"/>
      <c r="S16" s="2"/>
      <c r="T16" s="2"/>
      <c r="U16" s="2"/>
      <c r="V16" s="2"/>
      <c r="W16" s="2"/>
      <c r="X16" s="2"/>
      <c r="Y16" s="2"/>
      <c r="Z16" s="2"/>
    </row>
    <row r="17" spans="1:26" ht="42" customHeight="1" x14ac:dyDescent="0.25">
      <c r="A17" s="18" t="s">
        <v>80</v>
      </c>
      <c r="B17" s="62" t="s">
        <v>81</v>
      </c>
      <c r="C17" s="62" t="s">
        <v>17</v>
      </c>
      <c r="D17" s="34" t="s">
        <v>82</v>
      </c>
      <c r="E17" s="22"/>
      <c r="F17" s="42" t="s">
        <v>19</v>
      </c>
      <c r="G17" s="17" t="s">
        <v>20</v>
      </c>
      <c r="H17" s="18" t="s">
        <v>83</v>
      </c>
      <c r="I17" s="19" t="s">
        <v>22</v>
      </c>
      <c r="J17" s="19" t="s">
        <v>22</v>
      </c>
      <c r="K17" s="17"/>
      <c r="L17" s="17"/>
      <c r="M17" s="17"/>
      <c r="N17" s="17"/>
      <c r="O17" s="67"/>
      <c r="P17" s="67"/>
      <c r="Q17" s="4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00" x14ac:dyDescent="0.25">
      <c r="A18" s="18" t="s">
        <v>84</v>
      </c>
      <c r="B18" s="59" t="s">
        <v>85</v>
      </c>
      <c r="C18" s="62" t="s">
        <v>17</v>
      </c>
      <c r="D18" s="62" t="s">
        <v>86</v>
      </c>
      <c r="E18" s="62" t="s">
        <v>87</v>
      </c>
      <c r="F18" s="42" t="s">
        <v>19</v>
      </c>
      <c r="G18" s="17" t="s">
        <v>20</v>
      </c>
      <c r="H18" s="22" t="s">
        <v>88</v>
      </c>
      <c r="I18" s="19" t="s">
        <v>22</v>
      </c>
      <c r="J18" s="19" t="s">
        <v>22</v>
      </c>
      <c r="K18" s="17"/>
      <c r="L18" s="17"/>
      <c r="M18" s="17"/>
      <c r="N18" s="1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50" x14ac:dyDescent="0.25">
      <c r="A19" s="18" t="s">
        <v>89</v>
      </c>
      <c r="B19" s="59" t="s">
        <v>90</v>
      </c>
      <c r="C19" s="62" t="s">
        <v>91</v>
      </c>
      <c r="D19" s="62" t="s">
        <v>92</v>
      </c>
      <c r="E19" s="62" t="s">
        <v>93</v>
      </c>
      <c r="F19" s="42" t="s">
        <v>19</v>
      </c>
      <c r="G19" s="17" t="s">
        <v>20</v>
      </c>
      <c r="H19" s="18" t="s">
        <v>94</v>
      </c>
      <c r="I19" s="19" t="s">
        <v>22</v>
      </c>
      <c r="J19" s="19" t="s">
        <v>22</v>
      </c>
      <c r="K19" s="17"/>
      <c r="L19" s="17"/>
      <c r="M19" s="17"/>
      <c r="N19" s="1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45.65" customHeight="1" x14ac:dyDescent="0.25">
      <c r="A20" s="18" t="s">
        <v>95</v>
      </c>
      <c r="B20" s="62" t="s">
        <v>96</v>
      </c>
      <c r="C20" s="62" t="s">
        <v>17</v>
      </c>
      <c r="D20" s="34" t="s">
        <v>97</v>
      </c>
      <c r="E20" s="22"/>
      <c r="F20" s="62" t="s">
        <v>98</v>
      </c>
      <c r="G20" s="17" t="s">
        <v>20</v>
      </c>
      <c r="H20" s="18" t="s">
        <v>99</v>
      </c>
      <c r="I20" s="19" t="s">
        <v>22</v>
      </c>
      <c r="J20" s="19" t="s">
        <v>22</v>
      </c>
      <c r="K20" s="23"/>
      <c r="L20" s="23"/>
      <c r="M20" s="23"/>
      <c r="N20" s="23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62.5" x14ac:dyDescent="0.25">
      <c r="A21" s="18" t="s">
        <v>100</v>
      </c>
      <c r="B21" s="46" t="s">
        <v>101</v>
      </c>
      <c r="C21" s="46" t="s">
        <v>17</v>
      </c>
      <c r="D21" s="47" t="s">
        <v>102</v>
      </c>
      <c r="E21" s="23"/>
      <c r="F21" s="52" t="s">
        <v>103</v>
      </c>
      <c r="G21" s="17" t="s">
        <v>20</v>
      </c>
      <c r="H21" s="47" t="s">
        <v>104</v>
      </c>
      <c r="I21" s="19" t="s">
        <v>22</v>
      </c>
      <c r="J21" s="19" t="s">
        <v>22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x14ac:dyDescent="0.25">
      <c r="A22" s="67"/>
      <c r="B22" s="67"/>
      <c r="C22" s="1"/>
      <c r="D22" s="67"/>
      <c r="E22" s="5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x14ac:dyDescent="0.25">
      <c r="A23" s="67"/>
      <c r="B23" s="67"/>
      <c r="C23" s="67"/>
      <c r="D23" s="67"/>
      <c r="E23" s="67"/>
      <c r="F23" s="67"/>
      <c r="G23" s="1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x14ac:dyDescent="0.25">
      <c r="A24" s="67"/>
      <c r="B24" s="67"/>
      <c r="C24" s="67"/>
      <c r="D24" s="67"/>
      <c r="E24" s="67"/>
      <c r="F24" s="67"/>
      <c r="G24" s="1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x14ac:dyDescent="0.25">
      <c r="A25" s="67"/>
      <c r="B25" s="67"/>
      <c r="C25" s="67"/>
      <c r="D25" s="67"/>
      <c r="E25" s="67"/>
      <c r="F25" s="67"/>
      <c r="G25" s="1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x14ac:dyDescent="0.25">
      <c r="A26" s="67"/>
      <c r="B26" s="67"/>
      <c r="C26" s="67"/>
      <c r="D26" s="67"/>
      <c r="E26" s="67"/>
      <c r="F26" s="67"/>
      <c r="G26" s="1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x14ac:dyDescent="0.25">
      <c r="A27" s="67"/>
      <c r="B27" s="67"/>
      <c r="C27" s="67"/>
      <c r="D27" s="67"/>
      <c r="E27" s="67"/>
      <c r="F27" s="67"/>
      <c r="G27" s="1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x14ac:dyDescent="0.25">
      <c r="A28" s="67"/>
      <c r="B28" s="67"/>
      <c r="C28" s="67"/>
      <c r="D28" s="67"/>
      <c r="E28" s="67"/>
      <c r="F28" s="67"/>
      <c r="G28" s="1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x14ac:dyDescent="0.25">
      <c r="A29" s="67"/>
      <c r="B29" s="67"/>
      <c r="C29" s="67"/>
      <c r="D29" s="67"/>
      <c r="E29" s="67"/>
      <c r="F29" s="67"/>
      <c r="G29" s="1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x14ac:dyDescent="0.25">
      <c r="A30" s="67"/>
      <c r="B30" s="67"/>
      <c r="C30" s="67"/>
      <c r="D30" s="67"/>
      <c r="E30" s="67"/>
      <c r="F30" s="67"/>
      <c r="G30" s="1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x14ac:dyDescent="0.25">
      <c r="A31" s="67"/>
      <c r="B31" s="67"/>
      <c r="C31" s="67"/>
      <c r="D31" s="67"/>
      <c r="E31" s="67"/>
      <c r="F31" s="67"/>
      <c r="G31" s="1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x14ac:dyDescent="0.25">
      <c r="A32" s="67"/>
      <c r="B32" s="67"/>
      <c r="C32" s="67"/>
      <c r="D32" s="67"/>
      <c r="E32" s="67"/>
      <c r="F32" s="67"/>
      <c r="G32" s="1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</sheetData>
  <mergeCells count="22">
    <mergeCell ref="E1:E2"/>
    <mergeCell ref="N1:N2"/>
    <mergeCell ref="F1:F2"/>
    <mergeCell ref="G1:G2"/>
    <mergeCell ref="H1:H2"/>
    <mergeCell ref="I1:J1"/>
    <mergeCell ref="K1:K2"/>
    <mergeCell ref="L1:L2"/>
    <mergeCell ref="M1:M2"/>
    <mergeCell ref="C13:C16"/>
    <mergeCell ref="A1:A2"/>
    <mergeCell ref="B1:B2"/>
    <mergeCell ref="C1:C2"/>
    <mergeCell ref="D1:D2"/>
    <mergeCell ref="B6:B12"/>
    <mergeCell ref="C6:C12"/>
    <mergeCell ref="D6:D12"/>
    <mergeCell ref="B13:B16"/>
    <mergeCell ref="D13:D16"/>
    <mergeCell ref="B3:B5"/>
    <mergeCell ref="C3:C5"/>
    <mergeCell ref="D3:D5"/>
  </mergeCells>
  <conditionalFormatting sqref="G1:G2 G6:G9 G12:G14 G16:G19 G23:G999 C22">
    <cfRule type="containsText" dxfId="116" priority="43" operator="containsText" text="High">
      <formula>NOT(ISERROR(SEARCH(("High"),(C1))))</formula>
    </cfRule>
  </conditionalFormatting>
  <conditionalFormatting sqref="G1:G2 G6:G9 G12:G14 G16:G19 G23:G999 C22">
    <cfRule type="containsText" dxfId="115" priority="44" operator="containsText" text="Medium">
      <formula>NOT(ISERROR(SEARCH(("Medium"),(C1))))</formula>
    </cfRule>
  </conditionalFormatting>
  <conditionalFormatting sqref="G1:G2 G6:G9 G12:G14 G16:G19 G23:G999 C22">
    <cfRule type="containsText" dxfId="114" priority="45" operator="containsText" text="Low">
      <formula>NOT(ISERROR(SEARCH(("Low"),(C1))))</formula>
    </cfRule>
  </conditionalFormatting>
  <conditionalFormatting sqref="I1:J2 I12:J14 I16:J19 I23:J999 E22:F22 I6:J10">
    <cfRule type="containsText" dxfId="113" priority="46" operator="containsText" text="Passed">
      <formula>NOT(ISERROR(SEARCH(("Passed"),(E1))))</formula>
    </cfRule>
  </conditionalFormatting>
  <conditionalFormatting sqref="I1:J2 I12:J14 I16:J19 I23:J999 E22:F22 I6:J10">
    <cfRule type="containsText" dxfId="112" priority="47" operator="containsText" text="Failed">
      <formula>NOT(ISERROR(SEARCH(("Failed"),(E1))))</formula>
    </cfRule>
  </conditionalFormatting>
  <conditionalFormatting sqref="I1:J2 I12:J14 I16:J19 I23:J999 E22:F22 I6:J10">
    <cfRule type="containsText" dxfId="111" priority="48" operator="containsText" text="Un-test">
      <formula>NOT(ISERROR(SEARCH("Un-test",E1)))</formula>
    </cfRule>
  </conditionalFormatting>
  <conditionalFormatting sqref="G3:G4">
    <cfRule type="containsText" dxfId="110" priority="37" operator="containsText" text="High">
      <formula>NOT(ISERROR(SEARCH(("High"),(G3))))</formula>
    </cfRule>
  </conditionalFormatting>
  <conditionalFormatting sqref="G3:G4">
    <cfRule type="containsText" dxfId="109" priority="38" operator="containsText" text="Medium">
      <formula>NOT(ISERROR(SEARCH(("Medium"),(G3))))</formula>
    </cfRule>
  </conditionalFormatting>
  <conditionalFormatting sqref="G3:G4">
    <cfRule type="containsText" dxfId="108" priority="39" operator="containsText" text="Low">
      <formula>NOT(ISERROR(SEARCH(("Low"),(G3))))</formula>
    </cfRule>
  </conditionalFormatting>
  <conditionalFormatting sqref="I3:J4">
    <cfRule type="containsText" dxfId="107" priority="40" operator="containsText" text="Passed">
      <formula>NOT(ISERROR(SEARCH(("Passed"),(I3))))</formula>
    </cfRule>
  </conditionalFormatting>
  <conditionalFormatting sqref="I3:J4">
    <cfRule type="containsText" dxfId="106" priority="41" operator="containsText" text="Failed">
      <formula>NOT(ISERROR(SEARCH(("Failed"),(I3))))</formula>
    </cfRule>
  </conditionalFormatting>
  <conditionalFormatting sqref="I3:J4">
    <cfRule type="containsText" dxfId="105" priority="42" operator="containsText" text="Un-test">
      <formula>NOT(ISERROR(SEARCH(("Un-test"),(I3))))</formula>
    </cfRule>
  </conditionalFormatting>
  <conditionalFormatting sqref="G5">
    <cfRule type="containsText" dxfId="104" priority="31" operator="containsText" text="High">
      <formula>NOT(ISERROR(SEARCH(("High"),(G5))))</formula>
    </cfRule>
  </conditionalFormatting>
  <conditionalFormatting sqref="G5">
    <cfRule type="containsText" dxfId="103" priority="32" operator="containsText" text="Medium">
      <formula>NOT(ISERROR(SEARCH(("Medium"),(G5))))</formula>
    </cfRule>
  </conditionalFormatting>
  <conditionalFormatting sqref="G5">
    <cfRule type="containsText" dxfId="102" priority="33" operator="containsText" text="Low">
      <formula>NOT(ISERROR(SEARCH(("Low"),(G5))))</formula>
    </cfRule>
  </conditionalFormatting>
  <conditionalFormatting sqref="I5:J5">
    <cfRule type="containsText" dxfId="101" priority="34" operator="containsText" text="Passed">
      <formula>NOT(ISERROR(SEARCH(("Passed"),(I5))))</formula>
    </cfRule>
  </conditionalFormatting>
  <conditionalFormatting sqref="I5:J5">
    <cfRule type="containsText" dxfId="100" priority="35" operator="containsText" text="Failed">
      <formula>NOT(ISERROR(SEARCH(("Failed"),(I5))))</formula>
    </cfRule>
  </conditionalFormatting>
  <conditionalFormatting sqref="I5:J5">
    <cfRule type="containsText" dxfId="99" priority="36" operator="containsText" text="Un-test">
      <formula>NOT(ISERROR(SEARCH(("Un-test"),(I5))))</formula>
    </cfRule>
  </conditionalFormatting>
  <conditionalFormatting sqref="G10">
    <cfRule type="containsText" dxfId="98" priority="25" operator="containsText" text="High">
      <formula>NOT(ISERROR(SEARCH(("High"),(G10))))</formula>
    </cfRule>
  </conditionalFormatting>
  <conditionalFormatting sqref="G10">
    <cfRule type="containsText" dxfId="97" priority="26" operator="containsText" text="Medium">
      <formula>NOT(ISERROR(SEARCH(("Medium"),(G10))))</formula>
    </cfRule>
  </conditionalFormatting>
  <conditionalFormatting sqref="G10">
    <cfRule type="containsText" dxfId="96" priority="27" operator="containsText" text="Low">
      <formula>NOT(ISERROR(SEARCH(("Low"),(G10))))</formula>
    </cfRule>
  </conditionalFormatting>
  <conditionalFormatting sqref="I11:J11">
    <cfRule type="containsText" dxfId="95" priority="22" operator="containsText" text="Passed">
      <formula>NOT(ISERROR(SEARCH(("Passed"),(I11))))</formula>
    </cfRule>
  </conditionalFormatting>
  <conditionalFormatting sqref="I11:J11">
    <cfRule type="containsText" dxfId="94" priority="23" operator="containsText" text="Failed">
      <formula>NOT(ISERROR(SEARCH(("Failed"),(I11))))</formula>
    </cfRule>
  </conditionalFormatting>
  <conditionalFormatting sqref="I11:J11">
    <cfRule type="containsText" dxfId="93" priority="24" operator="containsText" text="Un-test">
      <formula>NOT(ISERROR(SEARCH(("Un-test"),(I11))))</formula>
    </cfRule>
  </conditionalFormatting>
  <conditionalFormatting sqref="G11">
    <cfRule type="containsText" dxfId="92" priority="19" operator="containsText" text="High">
      <formula>NOT(ISERROR(SEARCH(("High"),(G11))))</formula>
    </cfRule>
  </conditionalFormatting>
  <conditionalFormatting sqref="G11">
    <cfRule type="containsText" dxfId="91" priority="20" operator="containsText" text="Medium">
      <formula>NOT(ISERROR(SEARCH(("Medium"),(G11))))</formula>
    </cfRule>
  </conditionalFormatting>
  <conditionalFormatting sqref="G11">
    <cfRule type="containsText" dxfId="90" priority="21" operator="containsText" text="Low">
      <formula>NOT(ISERROR(SEARCH(("Low"),(G11))))</formula>
    </cfRule>
  </conditionalFormatting>
  <conditionalFormatting sqref="G15">
    <cfRule type="containsText" dxfId="89" priority="13" operator="containsText" text="High">
      <formula>NOT(ISERROR(SEARCH(("High"),(G15))))</formula>
    </cfRule>
  </conditionalFormatting>
  <conditionalFormatting sqref="G15">
    <cfRule type="containsText" dxfId="88" priority="14" operator="containsText" text="Medium">
      <formula>NOT(ISERROR(SEARCH(("Medium"),(G15))))</formula>
    </cfRule>
  </conditionalFormatting>
  <conditionalFormatting sqref="G15">
    <cfRule type="containsText" dxfId="87" priority="15" operator="containsText" text="Low">
      <formula>NOT(ISERROR(SEARCH(("Low"),(G15))))</formula>
    </cfRule>
  </conditionalFormatting>
  <conditionalFormatting sqref="G20:G21">
    <cfRule type="containsText" dxfId="86" priority="7" operator="containsText" text="High">
      <formula>NOT(ISERROR(SEARCH(("High"),(G20))))</formula>
    </cfRule>
  </conditionalFormatting>
  <conditionalFormatting sqref="G20:G21">
    <cfRule type="containsText" dxfId="85" priority="8" operator="containsText" text="Medium">
      <formula>NOT(ISERROR(SEARCH(("Medium"),(G20))))</formula>
    </cfRule>
  </conditionalFormatting>
  <conditionalFormatting sqref="G20:G21">
    <cfRule type="containsText" dxfId="84" priority="9" operator="containsText" text="Low">
      <formula>NOT(ISERROR(SEARCH(("Low"),(G20))))</formula>
    </cfRule>
  </conditionalFormatting>
  <conditionalFormatting sqref="I20:J21">
    <cfRule type="containsText" dxfId="83" priority="10" operator="containsText" text="Passed">
      <formula>NOT(ISERROR(SEARCH(("Passed"),(I20))))</formula>
    </cfRule>
  </conditionalFormatting>
  <conditionalFormatting sqref="I20:J21">
    <cfRule type="containsText" dxfId="82" priority="11" operator="containsText" text="Failed">
      <formula>NOT(ISERROR(SEARCH(("Failed"),(I20))))</formula>
    </cfRule>
  </conditionalFormatting>
  <conditionalFormatting sqref="I20:J21">
    <cfRule type="containsText" dxfId="81" priority="12" operator="containsText" text="Un-test">
      <formula>NOT(ISERROR(SEARCH(("Un-test"),(I20))))</formula>
    </cfRule>
  </conditionalFormatting>
  <conditionalFormatting sqref="I15">
    <cfRule type="containsText" dxfId="80" priority="4" operator="containsText" text="Passed">
      <formula>NOT(ISERROR(SEARCH(("Passed"),(I15))))</formula>
    </cfRule>
  </conditionalFormatting>
  <conditionalFormatting sqref="I15">
    <cfRule type="containsText" dxfId="79" priority="5" operator="containsText" text="Failed">
      <formula>NOT(ISERROR(SEARCH(("Failed"),(I15))))</formula>
    </cfRule>
  </conditionalFormatting>
  <conditionalFormatting sqref="I15">
    <cfRule type="containsText" dxfId="78" priority="6" operator="containsText" text="Un-test">
      <formula>NOT(ISERROR(SEARCH("Un-test",I15)))</formula>
    </cfRule>
  </conditionalFormatting>
  <conditionalFormatting sqref="J15">
    <cfRule type="containsText" dxfId="77" priority="1" operator="containsText" text="Passed">
      <formula>NOT(ISERROR(SEARCH(("Passed"),(J15))))</formula>
    </cfRule>
  </conditionalFormatting>
  <conditionalFormatting sqref="J15">
    <cfRule type="containsText" dxfId="76" priority="2" operator="containsText" text="Failed">
      <formula>NOT(ISERROR(SEARCH(("Failed"),(J15))))</formula>
    </cfRule>
  </conditionalFormatting>
  <conditionalFormatting sqref="J15">
    <cfRule type="containsText" dxfId="75" priority="3" operator="containsText" text="Un-test">
      <formula>NOT(ISERROR(SEARCH("Un-test",J15)))</formula>
    </cfRule>
  </conditionalFormatting>
  <dataValidations count="2">
    <dataValidation type="list" allowBlank="1" sqref="E22 I3:J21">
      <formula1>"Passed,Failed,Un-test"</formula1>
    </dataValidation>
    <dataValidation type="list" allowBlank="1" sqref="G3:G21 G23 C22">
      <formula1>"High,Medium,Low"</formula1>
    </dataValidation>
  </dataValidations>
  <hyperlinks>
    <hyperlink ref="F7" r:id="rId1" display="abc@gmail.com"/>
    <hyperlink ref="F14" r:id="rId2" display="huyen@2004"/>
    <hyperlink ref="F17" r:id="rId3" display="mailto:test@gmail.com"/>
    <hyperlink ref="F3" r:id="rId4" display="mailto:test@gmail.com"/>
    <hyperlink ref="F5" r:id="rId5" display="mailto:test@gmail.com"/>
    <hyperlink ref="F10" r:id="rId6" display="mailto:verylongemail@gmail.com"/>
    <hyperlink ref="F18" r:id="rId7" display="mailto:test@gmail.com"/>
    <hyperlink ref="F19" r:id="rId8" display="mailto:test@gmail.com"/>
  </hyperlinks>
  <pageMargins left="0" right="0" top="0" bottom="0" header="0" footer="0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5"/>
  <sheetViews>
    <sheetView topLeftCell="D1" zoomScale="105" zoomScaleNormal="100" workbookViewId="0">
      <selection activeCell="J4" sqref="J4"/>
    </sheetView>
  </sheetViews>
  <sheetFormatPr defaultColWidth="12.54296875" defaultRowHeight="12.5" x14ac:dyDescent="0.25"/>
  <cols>
    <col min="1" max="1" width="10.81640625" customWidth="1"/>
    <col min="2" max="2" width="25.453125" customWidth="1"/>
    <col min="3" max="3" width="28.453125" customWidth="1"/>
    <col min="4" max="4" width="29.453125" customWidth="1"/>
    <col min="5" max="5" width="38.54296875" customWidth="1"/>
    <col min="8" max="8" width="50.26953125" customWidth="1"/>
  </cols>
  <sheetData>
    <row r="1" spans="1:26" x14ac:dyDescent="0.25">
      <c r="A1" s="94" t="s">
        <v>0</v>
      </c>
      <c r="B1" s="90" t="s">
        <v>1</v>
      </c>
      <c r="C1" s="90" t="s">
        <v>2</v>
      </c>
      <c r="D1" s="90" t="s">
        <v>3</v>
      </c>
      <c r="E1" s="96" t="s">
        <v>4</v>
      </c>
      <c r="F1" s="90" t="s">
        <v>5</v>
      </c>
      <c r="G1" s="90" t="s">
        <v>6</v>
      </c>
      <c r="H1" s="90" t="s">
        <v>7</v>
      </c>
      <c r="I1" s="92" t="s">
        <v>8</v>
      </c>
      <c r="J1" s="93"/>
      <c r="K1" s="6" t="s">
        <v>9</v>
      </c>
      <c r="L1" s="6" t="s">
        <v>10</v>
      </c>
      <c r="M1" s="6" t="s">
        <v>11</v>
      </c>
      <c r="N1" s="6" t="s">
        <v>12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95"/>
      <c r="B2" s="91"/>
      <c r="C2" s="91"/>
      <c r="D2" s="91"/>
      <c r="E2" s="91"/>
      <c r="F2" s="91"/>
      <c r="G2" s="91"/>
      <c r="H2" s="91"/>
      <c r="I2" s="31" t="s">
        <v>13</v>
      </c>
      <c r="J2" s="31" t="s">
        <v>105</v>
      </c>
      <c r="K2" s="32"/>
      <c r="L2" s="32"/>
      <c r="M2" s="32"/>
      <c r="N2" s="32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" x14ac:dyDescent="0.25">
      <c r="A3" s="44" t="s">
        <v>106</v>
      </c>
      <c r="B3" s="18" t="s">
        <v>107</v>
      </c>
      <c r="C3" s="23" t="s">
        <v>108</v>
      </c>
      <c r="D3" s="18" t="s">
        <v>109</v>
      </c>
      <c r="E3" s="18"/>
      <c r="F3" s="18"/>
      <c r="G3" s="28" t="s">
        <v>20</v>
      </c>
      <c r="H3" s="18" t="s">
        <v>110</v>
      </c>
      <c r="I3" s="33" t="s">
        <v>22</v>
      </c>
      <c r="J3" s="28" t="s">
        <v>22</v>
      </c>
      <c r="K3" s="28"/>
      <c r="L3" s="28"/>
      <c r="M3" s="28"/>
      <c r="N3" s="28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62.5" x14ac:dyDescent="0.25">
      <c r="A4" s="44" t="s">
        <v>111</v>
      </c>
      <c r="B4" s="18" t="s">
        <v>112</v>
      </c>
      <c r="C4" s="23" t="s">
        <v>108</v>
      </c>
      <c r="D4" s="18" t="s">
        <v>113</v>
      </c>
      <c r="E4" s="18"/>
      <c r="F4" s="18"/>
      <c r="G4" s="28" t="s">
        <v>20</v>
      </c>
      <c r="H4" s="18" t="s">
        <v>114</v>
      </c>
      <c r="I4" s="28" t="s">
        <v>22</v>
      </c>
      <c r="J4" s="28" t="s">
        <v>22</v>
      </c>
      <c r="K4" s="28"/>
      <c r="L4" s="28"/>
      <c r="M4" s="28"/>
      <c r="N4" s="28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37.5" x14ac:dyDescent="0.25">
      <c r="A5" s="44" t="s">
        <v>115</v>
      </c>
      <c r="B5" s="18" t="s">
        <v>116</v>
      </c>
      <c r="C5" s="23" t="s">
        <v>108</v>
      </c>
      <c r="D5" s="18" t="s">
        <v>117</v>
      </c>
      <c r="E5" s="18"/>
      <c r="F5" s="18"/>
      <c r="G5" s="28" t="s">
        <v>26</v>
      </c>
      <c r="H5" s="18" t="s">
        <v>118</v>
      </c>
      <c r="I5" s="28" t="s">
        <v>22</v>
      </c>
      <c r="J5" s="28" t="s">
        <v>22</v>
      </c>
      <c r="K5" s="28"/>
      <c r="L5" s="28"/>
      <c r="M5" s="28"/>
      <c r="N5" s="28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37.5" x14ac:dyDescent="0.25">
      <c r="A6" s="44" t="s">
        <v>119</v>
      </c>
      <c r="B6" s="18" t="s">
        <v>120</v>
      </c>
      <c r="C6" s="18" t="s">
        <v>121</v>
      </c>
      <c r="D6" s="18" t="s">
        <v>122</v>
      </c>
      <c r="E6" s="18"/>
      <c r="F6" s="18"/>
      <c r="G6" s="28" t="s">
        <v>26</v>
      </c>
      <c r="H6" s="18" t="s">
        <v>123</v>
      </c>
      <c r="I6" s="28" t="s">
        <v>22</v>
      </c>
      <c r="J6" s="28" t="s">
        <v>22</v>
      </c>
      <c r="K6" s="28"/>
      <c r="L6" s="28"/>
      <c r="M6" s="28"/>
      <c r="N6" s="28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x14ac:dyDescent="0.25">
      <c r="A7" s="67"/>
      <c r="B7" s="4"/>
      <c r="C7" s="4"/>
      <c r="D7" s="67"/>
      <c r="E7" s="10"/>
      <c r="F7" s="67"/>
      <c r="G7" s="5"/>
      <c r="H7" s="67"/>
      <c r="I7" s="5"/>
      <c r="J7" s="5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x14ac:dyDescent="0.25">
      <c r="A8" s="67"/>
      <c r="B8" s="4"/>
      <c r="C8" s="4"/>
      <c r="D8" s="67"/>
      <c r="E8" s="10"/>
      <c r="F8" s="67"/>
      <c r="G8" s="5"/>
      <c r="H8" s="67"/>
      <c r="I8" s="5"/>
      <c r="J8" s="5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x14ac:dyDescent="0.25">
      <c r="A9" s="67"/>
      <c r="B9" s="4"/>
      <c r="C9" s="4"/>
      <c r="D9" s="67"/>
      <c r="E9" s="10"/>
      <c r="F9" s="67"/>
      <c r="G9" s="5"/>
      <c r="H9" s="67"/>
      <c r="I9" s="5"/>
      <c r="J9" s="5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x14ac:dyDescent="0.25">
      <c r="A10" s="67"/>
      <c r="B10" s="4"/>
      <c r="C10" s="4"/>
      <c r="D10" s="67"/>
      <c r="E10" s="10"/>
      <c r="F10" s="67"/>
      <c r="G10" s="5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x14ac:dyDescent="0.25">
      <c r="A11" s="67"/>
      <c r="B11" s="67"/>
      <c r="C11" s="67"/>
      <c r="D11" s="67"/>
      <c r="E11" s="10"/>
      <c r="F11" s="67"/>
      <c r="G11" s="5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x14ac:dyDescent="0.25">
      <c r="A12" s="67"/>
      <c r="B12" s="67"/>
      <c r="C12" s="67"/>
      <c r="D12" s="67"/>
      <c r="E12" s="10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x14ac:dyDescent="0.25">
      <c r="A13" s="67"/>
      <c r="B13" s="67"/>
      <c r="C13" s="67"/>
      <c r="D13" s="67"/>
      <c r="E13" s="10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x14ac:dyDescent="0.25">
      <c r="A14" s="67"/>
      <c r="B14" s="67"/>
      <c r="C14" s="67"/>
      <c r="D14" s="67"/>
      <c r="E14" s="10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x14ac:dyDescent="0.25">
      <c r="A15" s="67"/>
      <c r="B15" s="67"/>
      <c r="C15" s="67"/>
      <c r="D15" s="67"/>
      <c r="E15" s="10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x14ac:dyDescent="0.25">
      <c r="A16" s="67"/>
      <c r="B16" s="67"/>
      <c r="C16" s="67"/>
      <c r="D16" s="67"/>
      <c r="E16" s="10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10" x14ac:dyDescent="0.25">
      <c r="A17" s="67"/>
      <c r="B17" s="67"/>
      <c r="C17" s="67"/>
      <c r="D17" s="67"/>
      <c r="E17" s="10"/>
      <c r="F17" s="67"/>
      <c r="G17" s="67"/>
      <c r="H17" s="67"/>
      <c r="I17" s="67"/>
      <c r="J17" s="67"/>
    </row>
    <row r="18" spans="1:10" x14ac:dyDescent="0.25">
      <c r="A18" s="67"/>
      <c r="B18" s="67"/>
      <c r="C18" s="67"/>
      <c r="D18" s="67"/>
      <c r="E18" s="10"/>
      <c r="F18" s="67"/>
      <c r="G18" s="67"/>
      <c r="H18" s="67"/>
      <c r="I18" s="67"/>
      <c r="J18" s="67"/>
    </row>
    <row r="19" spans="1:10" x14ac:dyDescent="0.25">
      <c r="A19" s="67"/>
      <c r="B19" s="67"/>
      <c r="C19" s="67"/>
      <c r="D19" s="67"/>
      <c r="E19" s="10"/>
      <c r="F19" s="67"/>
      <c r="G19" s="67"/>
      <c r="H19" s="67"/>
      <c r="I19" s="67"/>
      <c r="J19" s="67"/>
    </row>
    <row r="20" spans="1:10" x14ac:dyDescent="0.25">
      <c r="A20" s="67"/>
      <c r="B20" s="67"/>
      <c r="C20" s="67"/>
      <c r="D20" s="67"/>
      <c r="E20" s="10"/>
      <c r="F20" s="67"/>
      <c r="G20" s="67"/>
      <c r="H20" s="67"/>
      <c r="I20" s="67"/>
      <c r="J20" s="67"/>
    </row>
    <row r="21" spans="1:10" x14ac:dyDescent="0.25">
      <c r="A21" s="67"/>
      <c r="B21" s="67"/>
      <c r="C21" s="67"/>
      <c r="D21" s="67"/>
      <c r="E21" s="10"/>
      <c r="F21" s="67"/>
      <c r="G21" s="67"/>
      <c r="H21" s="67"/>
      <c r="I21" s="67"/>
      <c r="J21" s="67"/>
    </row>
    <row r="22" spans="1:10" x14ac:dyDescent="0.25">
      <c r="A22" s="67"/>
      <c r="B22" s="67"/>
      <c r="C22" s="67"/>
      <c r="D22" s="67"/>
      <c r="E22" s="10"/>
      <c r="F22" s="67"/>
      <c r="G22" s="67"/>
      <c r="H22" s="67"/>
      <c r="I22" s="67"/>
      <c r="J22" s="67"/>
    </row>
    <row r="23" spans="1:10" x14ac:dyDescent="0.25">
      <c r="A23" s="67"/>
      <c r="B23" s="67"/>
      <c r="C23" s="67"/>
      <c r="D23" s="67"/>
      <c r="E23" s="10"/>
      <c r="F23" s="67"/>
      <c r="G23" s="67"/>
      <c r="H23" s="67"/>
      <c r="I23" s="67"/>
      <c r="J23" s="67"/>
    </row>
    <row r="24" spans="1:10" x14ac:dyDescent="0.25">
      <c r="A24" s="67"/>
      <c r="B24" s="67"/>
      <c r="C24" s="67"/>
      <c r="D24" s="67"/>
      <c r="E24" s="10"/>
      <c r="F24" s="67"/>
      <c r="G24" s="67"/>
      <c r="H24" s="67"/>
      <c r="I24" s="67"/>
      <c r="J24" s="67"/>
    </row>
    <row r="25" spans="1:10" x14ac:dyDescent="0.25">
      <c r="A25" s="67"/>
      <c r="B25" s="67"/>
      <c r="C25" s="67"/>
      <c r="D25" s="67"/>
      <c r="E25" s="10"/>
      <c r="F25" s="67"/>
      <c r="G25" s="67"/>
      <c r="H25" s="67"/>
      <c r="I25" s="67"/>
      <c r="J25" s="67"/>
    </row>
    <row r="26" spans="1:10" x14ac:dyDescent="0.25">
      <c r="A26" s="67"/>
      <c r="B26" s="67"/>
      <c r="C26" s="67"/>
      <c r="D26" s="67"/>
      <c r="E26" s="10"/>
      <c r="F26" s="67"/>
      <c r="G26" s="67"/>
      <c r="H26" s="67"/>
      <c r="I26" s="67"/>
      <c r="J26" s="67"/>
    </row>
    <row r="27" spans="1:10" x14ac:dyDescent="0.25">
      <c r="A27" s="67"/>
      <c r="B27" s="67"/>
      <c r="C27" s="67"/>
      <c r="D27" s="67"/>
      <c r="E27" s="10"/>
      <c r="F27" s="67"/>
      <c r="G27" s="67"/>
      <c r="H27" s="67"/>
      <c r="I27" s="67"/>
      <c r="J27" s="67"/>
    </row>
    <row r="28" spans="1:10" x14ac:dyDescent="0.25">
      <c r="A28" s="67"/>
      <c r="B28" s="67"/>
      <c r="C28" s="67"/>
      <c r="D28" s="67"/>
      <c r="E28" s="10"/>
      <c r="F28" s="67"/>
      <c r="G28" s="67"/>
      <c r="H28" s="67"/>
      <c r="I28" s="67"/>
      <c r="J28" s="67"/>
    </row>
    <row r="29" spans="1:10" x14ac:dyDescent="0.25">
      <c r="A29" s="67"/>
      <c r="B29" s="67"/>
      <c r="C29" s="67"/>
      <c r="D29" s="67"/>
      <c r="E29" s="10"/>
      <c r="F29" s="67"/>
      <c r="G29" s="67"/>
      <c r="H29" s="67"/>
      <c r="I29" s="67"/>
      <c r="J29" s="67"/>
    </row>
    <row r="30" spans="1:10" x14ac:dyDescent="0.25">
      <c r="A30" s="67"/>
      <c r="B30" s="67"/>
      <c r="C30" s="67"/>
      <c r="D30" s="67"/>
      <c r="E30" s="10"/>
      <c r="F30" s="67"/>
      <c r="G30" s="67"/>
      <c r="H30" s="67"/>
      <c r="I30" s="67"/>
      <c r="J30" s="67"/>
    </row>
    <row r="31" spans="1:10" x14ac:dyDescent="0.25">
      <c r="A31" s="67"/>
      <c r="B31" s="67"/>
      <c r="C31" s="67"/>
      <c r="D31" s="67"/>
      <c r="E31" s="10"/>
      <c r="F31" s="67"/>
      <c r="G31" s="67"/>
      <c r="H31" s="67"/>
      <c r="I31" s="67"/>
      <c r="J31" s="67"/>
    </row>
    <row r="32" spans="1:10" x14ac:dyDescent="0.25">
      <c r="A32" s="67"/>
      <c r="B32" s="67"/>
      <c r="C32" s="67"/>
      <c r="D32" s="67"/>
      <c r="E32" s="10"/>
      <c r="F32" s="67"/>
      <c r="G32" s="67"/>
      <c r="H32" s="67"/>
      <c r="I32" s="67"/>
      <c r="J32" s="67"/>
    </row>
    <row r="33" spans="5:5" x14ac:dyDescent="0.25">
      <c r="E33" s="10"/>
    </row>
    <row r="34" spans="5:5" x14ac:dyDescent="0.25">
      <c r="E34" s="10"/>
    </row>
    <row r="35" spans="5:5" x14ac:dyDescent="0.25">
      <c r="E35" s="10"/>
    </row>
    <row r="36" spans="5:5" x14ac:dyDescent="0.25">
      <c r="E36" s="10"/>
    </row>
    <row r="37" spans="5:5" x14ac:dyDescent="0.25">
      <c r="E37" s="10"/>
    </row>
    <row r="38" spans="5:5" x14ac:dyDescent="0.25">
      <c r="E38" s="10"/>
    </row>
    <row r="39" spans="5:5" x14ac:dyDescent="0.25">
      <c r="E39" s="10"/>
    </row>
    <row r="40" spans="5:5" x14ac:dyDescent="0.25">
      <c r="E40" s="10"/>
    </row>
    <row r="41" spans="5:5" x14ac:dyDescent="0.25">
      <c r="E41" s="10"/>
    </row>
    <row r="42" spans="5:5" x14ac:dyDescent="0.25">
      <c r="E42" s="10"/>
    </row>
    <row r="43" spans="5:5" x14ac:dyDescent="0.25">
      <c r="E43" s="10"/>
    </row>
    <row r="44" spans="5:5" x14ac:dyDescent="0.25">
      <c r="E44" s="10"/>
    </row>
    <row r="45" spans="5:5" x14ac:dyDescent="0.25">
      <c r="E45" s="10"/>
    </row>
    <row r="46" spans="5:5" x14ac:dyDescent="0.25">
      <c r="E46" s="10"/>
    </row>
    <row r="47" spans="5:5" x14ac:dyDescent="0.25">
      <c r="E47" s="10"/>
    </row>
    <row r="48" spans="5:5" x14ac:dyDescent="0.25">
      <c r="E48" s="10"/>
    </row>
    <row r="49" spans="5:5" x14ac:dyDescent="0.25">
      <c r="E49" s="10"/>
    </row>
    <row r="50" spans="5:5" x14ac:dyDescent="0.25">
      <c r="E50" s="10"/>
    </row>
    <row r="51" spans="5:5" x14ac:dyDescent="0.25">
      <c r="E51" s="10"/>
    </row>
    <row r="52" spans="5:5" x14ac:dyDescent="0.25">
      <c r="E52" s="10"/>
    </row>
    <row r="53" spans="5:5" x14ac:dyDescent="0.25">
      <c r="E53" s="10"/>
    </row>
    <row r="54" spans="5:5" x14ac:dyDescent="0.25">
      <c r="E54" s="10"/>
    </row>
    <row r="55" spans="5:5" x14ac:dyDescent="0.25">
      <c r="E55" s="10"/>
    </row>
    <row r="56" spans="5:5" x14ac:dyDescent="0.25">
      <c r="E56" s="10"/>
    </row>
    <row r="57" spans="5:5" x14ac:dyDescent="0.25">
      <c r="E57" s="10"/>
    </row>
    <row r="58" spans="5:5" x14ac:dyDescent="0.25">
      <c r="E58" s="10"/>
    </row>
    <row r="59" spans="5:5" x14ac:dyDescent="0.25">
      <c r="E59" s="10"/>
    </row>
    <row r="60" spans="5:5" x14ac:dyDescent="0.25">
      <c r="E60" s="10"/>
    </row>
    <row r="61" spans="5:5" x14ac:dyDescent="0.25">
      <c r="E61" s="10"/>
    </row>
    <row r="62" spans="5:5" x14ac:dyDescent="0.25">
      <c r="E62" s="10"/>
    </row>
    <row r="63" spans="5:5" x14ac:dyDescent="0.25">
      <c r="E63" s="10"/>
    </row>
    <row r="64" spans="5:5" x14ac:dyDescent="0.25">
      <c r="E64" s="10"/>
    </row>
    <row r="65" spans="5:10" x14ac:dyDescent="0.25">
      <c r="E65" s="10"/>
      <c r="F65" s="67"/>
      <c r="G65" s="67"/>
      <c r="H65" s="67"/>
      <c r="I65" s="67"/>
      <c r="J65" s="67"/>
    </row>
    <row r="66" spans="5:10" x14ac:dyDescent="0.25">
      <c r="E66" s="10"/>
      <c r="F66" s="67"/>
      <c r="G66" s="67"/>
      <c r="H66" s="67"/>
      <c r="I66" s="67"/>
      <c r="J66" s="67"/>
    </row>
    <row r="67" spans="5:10" x14ac:dyDescent="0.25">
      <c r="E67" s="10"/>
      <c r="F67" s="67"/>
      <c r="G67" s="67"/>
      <c r="H67" s="67"/>
      <c r="I67" s="67"/>
      <c r="J67" s="67"/>
    </row>
    <row r="68" spans="5:10" x14ac:dyDescent="0.25">
      <c r="E68" s="10"/>
      <c r="F68" s="67"/>
      <c r="G68" s="67"/>
      <c r="H68" s="67"/>
      <c r="I68" s="67"/>
      <c r="J68" s="67"/>
    </row>
    <row r="69" spans="5:10" x14ac:dyDescent="0.25">
      <c r="E69" s="10"/>
      <c r="F69" s="67"/>
      <c r="G69" s="67"/>
      <c r="H69" s="67"/>
      <c r="I69" s="67"/>
      <c r="J69" s="67"/>
    </row>
    <row r="70" spans="5:10" x14ac:dyDescent="0.25">
      <c r="E70" s="10"/>
      <c r="F70" s="67"/>
      <c r="G70" s="67"/>
      <c r="H70" s="67"/>
      <c r="I70" s="67"/>
      <c r="J70" s="67"/>
    </row>
    <row r="71" spans="5:10" x14ac:dyDescent="0.25">
      <c r="E71" s="10"/>
      <c r="F71" s="67"/>
      <c r="G71" s="67"/>
      <c r="H71" s="67"/>
      <c r="I71" s="67"/>
      <c r="J71" s="67"/>
    </row>
    <row r="72" spans="5:10" x14ac:dyDescent="0.25">
      <c r="E72" s="10"/>
      <c r="F72" s="67"/>
      <c r="G72" s="67"/>
      <c r="H72" s="67"/>
      <c r="I72" s="67"/>
      <c r="J72" s="67"/>
    </row>
    <row r="73" spans="5:10" x14ac:dyDescent="0.25">
      <c r="E73" s="10"/>
      <c r="F73" s="67"/>
      <c r="G73" s="67"/>
      <c r="H73" s="67"/>
      <c r="I73" s="67"/>
      <c r="J73" s="67"/>
    </row>
    <row r="74" spans="5:10" x14ac:dyDescent="0.25">
      <c r="E74" s="10"/>
      <c r="F74" s="67"/>
      <c r="G74" s="67"/>
      <c r="H74" s="67"/>
      <c r="I74" s="67"/>
      <c r="J74" s="67"/>
    </row>
    <row r="75" spans="5:10" x14ac:dyDescent="0.25">
      <c r="E75" s="10"/>
      <c r="F75" s="67"/>
      <c r="G75" s="67"/>
      <c r="H75" s="67"/>
      <c r="I75" s="67"/>
      <c r="J75" s="67"/>
    </row>
    <row r="76" spans="5:10" x14ac:dyDescent="0.25">
      <c r="E76" s="10"/>
      <c r="F76" s="67"/>
      <c r="G76" s="67"/>
      <c r="H76" s="67"/>
      <c r="I76" s="5"/>
      <c r="J76" s="5"/>
    </row>
    <row r="77" spans="5:10" x14ac:dyDescent="0.25">
      <c r="E77" s="10"/>
      <c r="F77" s="67"/>
      <c r="G77" s="67"/>
      <c r="H77" s="67"/>
      <c r="I77" s="67"/>
      <c r="J77" s="67"/>
    </row>
    <row r="78" spans="5:10" x14ac:dyDescent="0.25">
      <c r="E78" s="10"/>
      <c r="F78" s="67"/>
      <c r="G78" s="67"/>
      <c r="H78" s="67"/>
      <c r="I78" s="67"/>
      <c r="J78" s="67"/>
    </row>
    <row r="79" spans="5:10" x14ac:dyDescent="0.25">
      <c r="E79" s="10"/>
      <c r="F79" s="67"/>
      <c r="G79" s="67"/>
      <c r="H79" s="67"/>
      <c r="I79" s="67"/>
      <c r="J79" s="67"/>
    </row>
    <row r="80" spans="5:10" x14ac:dyDescent="0.25">
      <c r="E80" s="10"/>
      <c r="F80" s="67"/>
      <c r="G80" s="67"/>
      <c r="H80" s="67"/>
      <c r="I80" s="67"/>
      <c r="J80" s="67"/>
    </row>
    <row r="81" spans="5:10" x14ac:dyDescent="0.25">
      <c r="E81" s="10"/>
      <c r="F81" s="67"/>
      <c r="G81" s="67"/>
      <c r="H81" s="67"/>
      <c r="I81" s="67"/>
      <c r="J81" s="67"/>
    </row>
    <row r="82" spans="5:10" x14ac:dyDescent="0.25">
      <c r="E82" s="10"/>
      <c r="F82" s="67"/>
      <c r="G82" s="67"/>
      <c r="H82" s="67"/>
      <c r="I82" s="67"/>
      <c r="J82" s="67"/>
    </row>
    <row r="83" spans="5:10" x14ac:dyDescent="0.25">
      <c r="E83" s="10"/>
      <c r="F83" s="67"/>
      <c r="G83" s="67"/>
      <c r="H83" s="67"/>
      <c r="I83" s="67"/>
      <c r="J83" s="67"/>
    </row>
    <row r="84" spans="5:10" x14ac:dyDescent="0.25">
      <c r="E84" s="10"/>
      <c r="F84" s="67"/>
      <c r="G84" s="67"/>
      <c r="H84" s="67"/>
      <c r="I84" s="67"/>
      <c r="J84" s="67"/>
    </row>
    <row r="85" spans="5:10" x14ac:dyDescent="0.25">
      <c r="E85" s="10"/>
      <c r="F85" s="67"/>
      <c r="G85" s="67"/>
      <c r="H85" s="67"/>
      <c r="I85" s="67"/>
      <c r="J85" s="67"/>
    </row>
    <row r="86" spans="5:10" x14ac:dyDescent="0.25">
      <c r="E86" s="10"/>
      <c r="F86" s="67"/>
      <c r="G86" s="67"/>
      <c r="H86" s="67"/>
      <c r="I86" s="67"/>
      <c r="J86" s="67"/>
    </row>
    <row r="87" spans="5:10" x14ac:dyDescent="0.25">
      <c r="E87" s="10"/>
      <c r="F87" s="67"/>
      <c r="G87" s="67"/>
      <c r="H87" s="67"/>
      <c r="I87" s="67"/>
      <c r="J87" s="67"/>
    </row>
    <row r="88" spans="5:10" x14ac:dyDescent="0.25">
      <c r="E88" s="10"/>
      <c r="F88" s="67"/>
      <c r="G88" s="67"/>
      <c r="H88" s="67"/>
      <c r="I88" s="67"/>
      <c r="J88" s="67"/>
    </row>
    <row r="89" spans="5:10" x14ac:dyDescent="0.25">
      <c r="E89" s="10"/>
      <c r="F89" s="67"/>
      <c r="G89" s="67"/>
      <c r="H89" s="67"/>
      <c r="I89" s="67"/>
      <c r="J89" s="67"/>
    </row>
    <row r="90" spans="5:10" x14ac:dyDescent="0.25">
      <c r="E90" s="10"/>
      <c r="F90" s="67"/>
      <c r="G90" s="67"/>
      <c r="H90" s="67"/>
      <c r="I90" s="67"/>
      <c r="J90" s="67"/>
    </row>
    <row r="91" spans="5:10" x14ac:dyDescent="0.25">
      <c r="E91" s="10"/>
      <c r="F91" s="67"/>
      <c r="G91" s="67"/>
      <c r="H91" s="67"/>
      <c r="I91" s="67"/>
      <c r="J91" s="67"/>
    </row>
    <row r="92" spans="5:10" x14ac:dyDescent="0.25">
      <c r="E92" s="10"/>
      <c r="F92" s="67"/>
      <c r="G92" s="67"/>
      <c r="H92" s="67"/>
      <c r="I92" s="67"/>
      <c r="J92" s="67"/>
    </row>
    <row r="93" spans="5:10" x14ac:dyDescent="0.25">
      <c r="E93" s="10"/>
      <c r="F93" s="67"/>
      <c r="G93" s="67"/>
      <c r="H93" s="67"/>
      <c r="I93" s="67"/>
      <c r="J93" s="67"/>
    </row>
    <row r="94" spans="5:10" x14ac:dyDescent="0.25">
      <c r="E94" s="10"/>
      <c r="F94" s="67"/>
      <c r="G94" s="67"/>
      <c r="H94" s="67"/>
      <c r="I94" s="67"/>
      <c r="J94" s="67"/>
    </row>
    <row r="95" spans="5:10" x14ac:dyDescent="0.25">
      <c r="E95" s="10"/>
      <c r="F95" s="67"/>
      <c r="G95" s="67"/>
      <c r="H95" s="67"/>
      <c r="I95" s="67"/>
      <c r="J95" s="67"/>
    </row>
    <row r="96" spans="5:10" x14ac:dyDescent="0.25">
      <c r="E96" s="10"/>
      <c r="F96" s="67"/>
      <c r="G96" s="67"/>
      <c r="H96" s="67"/>
      <c r="I96" s="67"/>
      <c r="J96" s="67"/>
    </row>
    <row r="97" spans="5:5" x14ac:dyDescent="0.25">
      <c r="E97" s="10"/>
    </row>
    <row r="98" spans="5:5" x14ac:dyDescent="0.25">
      <c r="E98" s="10"/>
    </row>
    <row r="99" spans="5:5" x14ac:dyDescent="0.25">
      <c r="E99" s="10"/>
    </row>
    <row r="100" spans="5:5" x14ac:dyDescent="0.25">
      <c r="E100" s="10"/>
    </row>
    <row r="101" spans="5:5" x14ac:dyDescent="0.25">
      <c r="E101" s="10"/>
    </row>
    <row r="102" spans="5:5" x14ac:dyDescent="0.25">
      <c r="E102" s="10"/>
    </row>
    <row r="103" spans="5:5" x14ac:dyDescent="0.25">
      <c r="E103" s="10"/>
    </row>
    <row r="104" spans="5:5" x14ac:dyDescent="0.25">
      <c r="E104" s="10"/>
    </row>
    <row r="105" spans="5:5" x14ac:dyDescent="0.25">
      <c r="E105" s="10"/>
    </row>
    <row r="106" spans="5:5" x14ac:dyDescent="0.25">
      <c r="E106" s="10"/>
    </row>
    <row r="107" spans="5:5" x14ac:dyDescent="0.25">
      <c r="E107" s="10"/>
    </row>
    <row r="108" spans="5:5" x14ac:dyDescent="0.25">
      <c r="E108" s="10"/>
    </row>
    <row r="109" spans="5:5" x14ac:dyDescent="0.25">
      <c r="E109" s="10"/>
    </row>
    <row r="110" spans="5:5" x14ac:dyDescent="0.25">
      <c r="E110" s="10"/>
    </row>
    <row r="111" spans="5:5" x14ac:dyDescent="0.25">
      <c r="E111" s="10"/>
    </row>
    <row r="112" spans="5:5" x14ac:dyDescent="0.25">
      <c r="E112" s="10"/>
    </row>
    <row r="113" spans="5:5" x14ac:dyDescent="0.25">
      <c r="E113" s="10"/>
    </row>
    <row r="114" spans="5:5" x14ac:dyDescent="0.25">
      <c r="E114" s="10"/>
    </row>
    <row r="115" spans="5:5" x14ac:dyDescent="0.25">
      <c r="E115" s="10"/>
    </row>
    <row r="116" spans="5:5" x14ac:dyDescent="0.25">
      <c r="E116" s="10"/>
    </row>
    <row r="117" spans="5:5" x14ac:dyDescent="0.25">
      <c r="E117" s="10"/>
    </row>
    <row r="118" spans="5:5" x14ac:dyDescent="0.25">
      <c r="E118" s="10"/>
    </row>
    <row r="119" spans="5:5" x14ac:dyDescent="0.25">
      <c r="E119" s="10"/>
    </row>
    <row r="120" spans="5:5" x14ac:dyDescent="0.25">
      <c r="E120" s="10"/>
    </row>
    <row r="121" spans="5:5" x14ac:dyDescent="0.25">
      <c r="E121" s="10"/>
    </row>
    <row r="122" spans="5:5" x14ac:dyDescent="0.25">
      <c r="E122" s="10"/>
    </row>
    <row r="123" spans="5:5" x14ac:dyDescent="0.25">
      <c r="E123" s="10"/>
    </row>
    <row r="124" spans="5:5" x14ac:dyDescent="0.25">
      <c r="E124" s="10"/>
    </row>
    <row r="125" spans="5:5" x14ac:dyDescent="0.25">
      <c r="E125" s="10"/>
    </row>
    <row r="126" spans="5:5" x14ac:dyDescent="0.25">
      <c r="E126" s="10"/>
    </row>
    <row r="127" spans="5:5" x14ac:dyDescent="0.25">
      <c r="E127" s="10"/>
    </row>
    <row r="128" spans="5:5" x14ac:dyDescent="0.25">
      <c r="E128" s="10"/>
    </row>
    <row r="129" spans="5:5" x14ac:dyDescent="0.25">
      <c r="E129" s="10"/>
    </row>
    <row r="130" spans="5:5" x14ac:dyDescent="0.25">
      <c r="E130" s="10"/>
    </row>
    <row r="131" spans="5:5" x14ac:dyDescent="0.25">
      <c r="E131" s="10"/>
    </row>
    <row r="132" spans="5:5" x14ac:dyDescent="0.25">
      <c r="E132" s="10"/>
    </row>
    <row r="133" spans="5:5" x14ac:dyDescent="0.25">
      <c r="E133" s="10"/>
    </row>
    <row r="134" spans="5:5" x14ac:dyDescent="0.25">
      <c r="E134" s="10"/>
    </row>
    <row r="135" spans="5:5" x14ac:dyDescent="0.25">
      <c r="E135" s="10"/>
    </row>
    <row r="136" spans="5:5" x14ac:dyDescent="0.25">
      <c r="E136" s="10"/>
    </row>
    <row r="137" spans="5:5" x14ac:dyDescent="0.25">
      <c r="E137" s="10"/>
    </row>
    <row r="138" spans="5:5" x14ac:dyDescent="0.25">
      <c r="E138" s="10"/>
    </row>
    <row r="139" spans="5:5" x14ac:dyDescent="0.25">
      <c r="E139" s="10"/>
    </row>
    <row r="140" spans="5:5" x14ac:dyDescent="0.25">
      <c r="E140" s="10"/>
    </row>
    <row r="141" spans="5:5" x14ac:dyDescent="0.25">
      <c r="E141" s="10"/>
    </row>
    <row r="142" spans="5:5" x14ac:dyDescent="0.25">
      <c r="E142" s="10"/>
    </row>
    <row r="143" spans="5:5" x14ac:dyDescent="0.25">
      <c r="E143" s="10"/>
    </row>
    <row r="144" spans="5:5" x14ac:dyDescent="0.25">
      <c r="E144" s="10"/>
    </row>
    <row r="145" spans="5:5" x14ac:dyDescent="0.25">
      <c r="E145" s="10"/>
    </row>
    <row r="146" spans="5:5" x14ac:dyDescent="0.25">
      <c r="E146" s="10"/>
    </row>
    <row r="147" spans="5:5" x14ac:dyDescent="0.25">
      <c r="E147" s="10"/>
    </row>
    <row r="148" spans="5:5" x14ac:dyDescent="0.25">
      <c r="E148" s="10"/>
    </row>
    <row r="149" spans="5:5" x14ac:dyDescent="0.25">
      <c r="E149" s="10"/>
    </row>
    <row r="150" spans="5:5" x14ac:dyDescent="0.25">
      <c r="E150" s="10"/>
    </row>
    <row r="151" spans="5:5" x14ac:dyDescent="0.25">
      <c r="E151" s="10"/>
    </row>
    <row r="152" spans="5:5" x14ac:dyDescent="0.25">
      <c r="E152" s="10"/>
    </row>
    <row r="153" spans="5:5" x14ac:dyDescent="0.25">
      <c r="E153" s="10"/>
    </row>
    <row r="154" spans="5:5" x14ac:dyDescent="0.25">
      <c r="E154" s="10"/>
    </row>
    <row r="155" spans="5:5" x14ac:dyDescent="0.25">
      <c r="E155" s="10"/>
    </row>
    <row r="156" spans="5:5" x14ac:dyDescent="0.25">
      <c r="E156" s="10"/>
    </row>
    <row r="157" spans="5:5" x14ac:dyDescent="0.25">
      <c r="E157" s="10"/>
    </row>
    <row r="158" spans="5:5" x14ac:dyDescent="0.25">
      <c r="E158" s="10"/>
    </row>
    <row r="159" spans="5:5" x14ac:dyDescent="0.25">
      <c r="E159" s="10"/>
    </row>
    <row r="160" spans="5:5" x14ac:dyDescent="0.25">
      <c r="E160" s="10"/>
    </row>
    <row r="161" spans="5:5" x14ac:dyDescent="0.25">
      <c r="E161" s="10"/>
    </row>
    <row r="162" spans="5:5" x14ac:dyDescent="0.25">
      <c r="E162" s="10"/>
    </row>
    <row r="163" spans="5:5" x14ac:dyDescent="0.25">
      <c r="E163" s="10"/>
    </row>
    <row r="164" spans="5:5" x14ac:dyDescent="0.25">
      <c r="E164" s="10"/>
    </row>
    <row r="165" spans="5:5" x14ac:dyDescent="0.25">
      <c r="E165" s="10"/>
    </row>
    <row r="166" spans="5:5" x14ac:dyDescent="0.25">
      <c r="E166" s="10"/>
    </row>
    <row r="167" spans="5:5" x14ac:dyDescent="0.25">
      <c r="E167" s="10"/>
    </row>
    <row r="168" spans="5:5" x14ac:dyDescent="0.25">
      <c r="E168" s="10"/>
    </row>
    <row r="169" spans="5:5" x14ac:dyDescent="0.25">
      <c r="E169" s="10"/>
    </row>
    <row r="170" spans="5:5" x14ac:dyDescent="0.25">
      <c r="E170" s="10"/>
    </row>
    <row r="171" spans="5:5" x14ac:dyDescent="0.25">
      <c r="E171" s="10"/>
    </row>
    <row r="172" spans="5:5" x14ac:dyDescent="0.25">
      <c r="E172" s="10"/>
    </row>
    <row r="173" spans="5:5" x14ac:dyDescent="0.25">
      <c r="E173" s="10"/>
    </row>
    <row r="174" spans="5:5" x14ac:dyDescent="0.25">
      <c r="E174" s="10"/>
    </row>
    <row r="175" spans="5:5" x14ac:dyDescent="0.25">
      <c r="E175" s="10"/>
    </row>
    <row r="176" spans="5:5" x14ac:dyDescent="0.25">
      <c r="E176" s="10"/>
    </row>
    <row r="177" spans="5:5" x14ac:dyDescent="0.25">
      <c r="E177" s="10"/>
    </row>
    <row r="178" spans="5:5" x14ac:dyDescent="0.25">
      <c r="E178" s="10"/>
    </row>
    <row r="179" spans="5:5" x14ac:dyDescent="0.25">
      <c r="E179" s="10"/>
    </row>
    <row r="180" spans="5:5" x14ac:dyDescent="0.25">
      <c r="E180" s="10"/>
    </row>
    <row r="181" spans="5:5" x14ac:dyDescent="0.25">
      <c r="E181" s="10"/>
    </row>
    <row r="182" spans="5:5" x14ac:dyDescent="0.25">
      <c r="E182" s="10"/>
    </row>
    <row r="183" spans="5:5" x14ac:dyDescent="0.25">
      <c r="E183" s="10"/>
    </row>
    <row r="184" spans="5:5" x14ac:dyDescent="0.25">
      <c r="E184" s="10"/>
    </row>
    <row r="185" spans="5:5" x14ac:dyDescent="0.25">
      <c r="E185" s="10"/>
    </row>
    <row r="186" spans="5:5" x14ac:dyDescent="0.25">
      <c r="E186" s="10"/>
    </row>
    <row r="187" spans="5:5" x14ac:dyDescent="0.25">
      <c r="E187" s="10"/>
    </row>
    <row r="188" spans="5:5" x14ac:dyDescent="0.25">
      <c r="E188" s="10"/>
    </row>
    <row r="189" spans="5:5" x14ac:dyDescent="0.25">
      <c r="E189" s="10"/>
    </row>
    <row r="190" spans="5:5" x14ac:dyDescent="0.25">
      <c r="E190" s="10"/>
    </row>
    <row r="191" spans="5:5" x14ac:dyDescent="0.25">
      <c r="E191" s="10"/>
    </row>
    <row r="192" spans="5:5" x14ac:dyDescent="0.25">
      <c r="E192" s="10"/>
    </row>
    <row r="193" spans="5:5" x14ac:dyDescent="0.25">
      <c r="E193" s="10"/>
    </row>
    <row r="194" spans="5:5" x14ac:dyDescent="0.25">
      <c r="E194" s="10"/>
    </row>
    <row r="195" spans="5:5" x14ac:dyDescent="0.25">
      <c r="E195" s="10"/>
    </row>
    <row r="196" spans="5:5" x14ac:dyDescent="0.25">
      <c r="E196" s="10"/>
    </row>
    <row r="197" spans="5:5" x14ac:dyDescent="0.25">
      <c r="E197" s="10"/>
    </row>
    <row r="198" spans="5:5" x14ac:dyDescent="0.25">
      <c r="E198" s="10"/>
    </row>
    <row r="199" spans="5:5" x14ac:dyDescent="0.25">
      <c r="E199" s="10"/>
    </row>
    <row r="200" spans="5:5" x14ac:dyDescent="0.25">
      <c r="E200" s="10"/>
    </row>
    <row r="201" spans="5:5" x14ac:dyDescent="0.25">
      <c r="E201" s="10"/>
    </row>
    <row r="202" spans="5:5" x14ac:dyDescent="0.25">
      <c r="E202" s="10"/>
    </row>
    <row r="203" spans="5:5" x14ac:dyDescent="0.25">
      <c r="E203" s="10"/>
    </row>
    <row r="204" spans="5:5" x14ac:dyDescent="0.25">
      <c r="E204" s="10"/>
    </row>
    <row r="205" spans="5:5" x14ac:dyDescent="0.25">
      <c r="E205" s="10"/>
    </row>
    <row r="206" spans="5:5" x14ac:dyDescent="0.25">
      <c r="E206" s="10"/>
    </row>
    <row r="207" spans="5:5" x14ac:dyDescent="0.25">
      <c r="E207" s="10"/>
    </row>
    <row r="208" spans="5:5" x14ac:dyDescent="0.25">
      <c r="E208" s="10"/>
    </row>
    <row r="209" spans="5:5" x14ac:dyDescent="0.25">
      <c r="E209" s="10"/>
    </row>
    <row r="210" spans="5:5" x14ac:dyDescent="0.25">
      <c r="E210" s="10"/>
    </row>
    <row r="211" spans="5:5" x14ac:dyDescent="0.25">
      <c r="E211" s="10"/>
    </row>
    <row r="212" spans="5:5" x14ac:dyDescent="0.25">
      <c r="E212" s="10"/>
    </row>
    <row r="213" spans="5:5" x14ac:dyDescent="0.25">
      <c r="E213" s="10"/>
    </row>
    <row r="214" spans="5:5" x14ac:dyDescent="0.25">
      <c r="E214" s="10"/>
    </row>
    <row r="215" spans="5:5" x14ac:dyDescent="0.25">
      <c r="E215" s="10"/>
    </row>
    <row r="216" spans="5:5" x14ac:dyDescent="0.25">
      <c r="E216" s="10"/>
    </row>
    <row r="217" spans="5:5" x14ac:dyDescent="0.25">
      <c r="E217" s="10"/>
    </row>
    <row r="218" spans="5:5" x14ac:dyDescent="0.25">
      <c r="E218" s="10"/>
    </row>
    <row r="219" spans="5:5" x14ac:dyDescent="0.25">
      <c r="E219" s="10"/>
    </row>
    <row r="220" spans="5:5" x14ac:dyDescent="0.25">
      <c r="E220" s="10"/>
    </row>
    <row r="221" spans="5:5" x14ac:dyDescent="0.25">
      <c r="E221" s="10"/>
    </row>
    <row r="222" spans="5:5" x14ac:dyDescent="0.25">
      <c r="E222" s="10"/>
    </row>
    <row r="223" spans="5:5" x14ac:dyDescent="0.25">
      <c r="E223" s="10"/>
    </row>
    <row r="224" spans="5:5" x14ac:dyDescent="0.25">
      <c r="E224" s="10"/>
    </row>
    <row r="225" spans="5:5" x14ac:dyDescent="0.25">
      <c r="E225" s="10"/>
    </row>
    <row r="226" spans="5:5" x14ac:dyDescent="0.25">
      <c r="E226" s="10"/>
    </row>
    <row r="227" spans="5:5" x14ac:dyDescent="0.25">
      <c r="E227" s="10"/>
    </row>
    <row r="228" spans="5:5" x14ac:dyDescent="0.25">
      <c r="E228" s="10"/>
    </row>
    <row r="229" spans="5:5" x14ac:dyDescent="0.25">
      <c r="E229" s="10"/>
    </row>
    <row r="230" spans="5:5" x14ac:dyDescent="0.25">
      <c r="E230" s="10"/>
    </row>
    <row r="231" spans="5:5" x14ac:dyDescent="0.25">
      <c r="E231" s="10"/>
    </row>
    <row r="232" spans="5:5" x14ac:dyDescent="0.25">
      <c r="E232" s="10"/>
    </row>
    <row r="233" spans="5:5" x14ac:dyDescent="0.25">
      <c r="E233" s="10"/>
    </row>
    <row r="234" spans="5:5" x14ac:dyDescent="0.25">
      <c r="E234" s="10"/>
    </row>
    <row r="235" spans="5:5" x14ac:dyDescent="0.25">
      <c r="E235" s="10"/>
    </row>
    <row r="236" spans="5:5" x14ac:dyDescent="0.25">
      <c r="E236" s="10"/>
    </row>
    <row r="237" spans="5:5" x14ac:dyDescent="0.25">
      <c r="E237" s="10"/>
    </row>
    <row r="238" spans="5:5" x14ac:dyDescent="0.25">
      <c r="E238" s="10"/>
    </row>
    <row r="239" spans="5:5" x14ac:dyDescent="0.25">
      <c r="E239" s="10"/>
    </row>
    <row r="240" spans="5:5" x14ac:dyDescent="0.25">
      <c r="E240" s="10"/>
    </row>
    <row r="241" spans="5:5" x14ac:dyDescent="0.25">
      <c r="E241" s="10"/>
    </row>
    <row r="242" spans="5:5" x14ac:dyDescent="0.25">
      <c r="E242" s="10"/>
    </row>
    <row r="243" spans="5:5" x14ac:dyDescent="0.25">
      <c r="E243" s="10"/>
    </row>
    <row r="244" spans="5:5" x14ac:dyDescent="0.25">
      <c r="E244" s="10"/>
    </row>
    <row r="245" spans="5:5" x14ac:dyDescent="0.25">
      <c r="E245" s="10"/>
    </row>
    <row r="246" spans="5:5" x14ac:dyDescent="0.25">
      <c r="E246" s="10"/>
    </row>
    <row r="247" spans="5:5" x14ac:dyDescent="0.25">
      <c r="E247" s="10"/>
    </row>
    <row r="248" spans="5:5" x14ac:dyDescent="0.25">
      <c r="E248" s="10"/>
    </row>
    <row r="249" spans="5:5" x14ac:dyDescent="0.25">
      <c r="E249" s="10"/>
    </row>
    <row r="250" spans="5:5" x14ac:dyDescent="0.25">
      <c r="E250" s="10"/>
    </row>
    <row r="251" spans="5:5" x14ac:dyDescent="0.25">
      <c r="E251" s="10"/>
    </row>
    <row r="252" spans="5:5" x14ac:dyDescent="0.25">
      <c r="E252" s="10"/>
    </row>
    <row r="253" spans="5:5" x14ac:dyDescent="0.25">
      <c r="E253" s="10"/>
    </row>
    <row r="254" spans="5:5" x14ac:dyDescent="0.25">
      <c r="E254" s="10"/>
    </row>
    <row r="255" spans="5:5" x14ac:dyDescent="0.25">
      <c r="E255" s="10"/>
    </row>
    <row r="256" spans="5:5" x14ac:dyDescent="0.25">
      <c r="E256" s="10"/>
    </row>
    <row r="257" spans="5:5" x14ac:dyDescent="0.25">
      <c r="E257" s="10"/>
    </row>
    <row r="258" spans="5:5" x14ac:dyDescent="0.25">
      <c r="E258" s="10"/>
    </row>
    <row r="259" spans="5:5" x14ac:dyDescent="0.25">
      <c r="E259" s="10"/>
    </row>
    <row r="260" spans="5:5" x14ac:dyDescent="0.25">
      <c r="E260" s="10"/>
    </row>
    <row r="261" spans="5:5" x14ac:dyDescent="0.25">
      <c r="E261" s="10"/>
    </row>
    <row r="262" spans="5:5" x14ac:dyDescent="0.25">
      <c r="E262" s="10"/>
    </row>
    <row r="263" spans="5:5" x14ac:dyDescent="0.25">
      <c r="E263" s="10"/>
    </row>
    <row r="264" spans="5:5" x14ac:dyDescent="0.25">
      <c r="E264" s="10"/>
    </row>
    <row r="265" spans="5:5" x14ac:dyDescent="0.25">
      <c r="E265" s="10"/>
    </row>
    <row r="266" spans="5:5" x14ac:dyDescent="0.25">
      <c r="E266" s="10"/>
    </row>
    <row r="267" spans="5:5" x14ac:dyDescent="0.25">
      <c r="E267" s="10"/>
    </row>
    <row r="268" spans="5:5" x14ac:dyDescent="0.25">
      <c r="E268" s="10"/>
    </row>
    <row r="269" spans="5:5" x14ac:dyDescent="0.25">
      <c r="E269" s="10"/>
    </row>
    <row r="270" spans="5:5" x14ac:dyDescent="0.25">
      <c r="E270" s="10"/>
    </row>
    <row r="271" spans="5:5" x14ac:dyDescent="0.25">
      <c r="E271" s="10"/>
    </row>
    <row r="272" spans="5:5" x14ac:dyDescent="0.25">
      <c r="E272" s="10"/>
    </row>
    <row r="273" spans="5:5" x14ac:dyDescent="0.25">
      <c r="E273" s="10"/>
    </row>
    <row r="274" spans="5:5" x14ac:dyDescent="0.25">
      <c r="E274" s="10"/>
    </row>
    <row r="275" spans="5:5" x14ac:dyDescent="0.25">
      <c r="E275" s="10"/>
    </row>
    <row r="276" spans="5:5" x14ac:dyDescent="0.25">
      <c r="E276" s="10"/>
    </row>
    <row r="277" spans="5:5" x14ac:dyDescent="0.25">
      <c r="E277" s="10"/>
    </row>
    <row r="278" spans="5:5" x14ac:dyDescent="0.25">
      <c r="E278" s="10"/>
    </row>
    <row r="279" spans="5:5" x14ac:dyDescent="0.25">
      <c r="E279" s="10"/>
    </row>
    <row r="280" spans="5:5" x14ac:dyDescent="0.25">
      <c r="E280" s="10"/>
    </row>
    <row r="281" spans="5:5" x14ac:dyDescent="0.25">
      <c r="E281" s="10"/>
    </row>
    <row r="282" spans="5:5" x14ac:dyDescent="0.25">
      <c r="E282" s="10"/>
    </row>
    <row r="283" spans="5:5" x14ac:dyDescent="0.25">
      <c r="E283" s="10"/>
    </row>
    <row r="284" spans="5:5" x14ac:dyDescent="0.25">
      <c r="E284" s="10"/>
    </row>
    <row r="285" spans="5:5" x14ac:dyDescent="0.25">
      <c r="E285" s="10"/>
    </row>
    <row r="286" spans="5:5" x14ac:dyDescent="0.25">
      <c r="E286" s="10"/>
    </row>
    <row r="287" spans="5:5" x14ac:dyDescent="0.25">
      <c r="E287" s="10"/>
    </row>
    <row r="288" spans="5:5" x14ac:dyDescent="0.25">
      <c r="E288" s="10"/>
    </row>
    <row r="289" spans="5:5" x14ac:dyDescent="0.25">
      <c r="E289" s="10"/>
    </row>
    <row r="290" spans="5:5" x14ac:dyDescent="0.25">
      <c r="E290" s="10"/>
    </row>
    <row r="291" spans="5:5" x14ac:dyDescent="0.25">
      <c r="E291" s="10"/>
    </row>
    <row r="292" spans="5:5" x14ac:dyDescent="0.25">
      <c r="E292" s="10"/>
    </row>
    <row r="293" spans="5:5" x14ac:dyDescent="0.25">
      <c r="E293" s="10"/>
    </row>
    <row r="294" spans="5:5" x14ac:dyDescent="0.25">
      <c r="E294" s="10"/>
    </row>
    <row r="295" spans="5:5" x14ac:dyDescent="0.25">
      <c r="E295" s="10"/>
    </row>
    <row r="296" spans="5:5" x14ac:dyDescent="0.25">
      <c r="E296" s="10"/>
    </row>
    <row r="297" spans="5:5" x14ac:dyDescent="0.25">
      <c r="E297" s="10"/>
    </row>
    <row r="298" spans="5:5" x14ac:dyDescent="0.25">
      <c r="E298" s="10"/>
    </row>
    <row r="299" spans="5:5" x14ac:dyDescent="0.25">
      <c r="E299" s="10"/>
    </row>
    <row r="300" spans="5:5" x14ac:dyDescent="0.25">
      <c r="E300" s="10"/>
    </row>
    <row r="301" spans="5:5" x14ac:dyDescent="0.25">
      <c r="E301" s="10"/>
    </row>
    <row r="302" spans="5:5" x14ac:dyDescent="0.25">
      <c r="E302" s="10"/>
    </row>
    <row r="303" spans="5:5" x14ac:dyDescent="0.25">
      <c r="E303" s="10"/>
    </row>
    <row r="304" spans="5:5" x14ac:dyDescent="0.25">
      <c r="E304" s="10"/>
    </row>
    <row r="305" spans="5:5" x14ac:dyDescent="0.25">
      <c r="E305" s="10"/>
    </row>
    <row r="306" spans="5:5" x14ac:dyDescent="0.25">
      <c r="E306" s="10"/>
    </row>
    <row r="307" spans="5:5" x14ac:dyDescent="0.25">
      <c r="E307" s="10"/>
    </row>
    <row r="308" spans="5:5" x14ac:dyDescent="0.25">
      <c r="E308" s="10"/>
    </row>
    <row r="309" spans="5:5" x14ac:dyDescent="0.25">
      <c r="E309" s="10"/>
    </row>
    <row r="310" spans="5:5" x14ac:dyDescent="0.25">
      <c r="E310" s="10"/>
    </row>
    <row r="311" spans="5:5" x14ac:dyDescent="0.25">
      <c r="E311" s="10"/>
    </row>
    <row r="312" spans="5:5" x14ac:dyDescent="0.25">
      <c r="E312" s="10"/>
    </row>
    <row r="313" spans="5:5" x14ac:dyDescent="0.25">
      <c r="E313" s="10"/>
    </row>
    <row r="314" spans="5:5" x14ac:dyDescent="0.25">
      <c r="E314" s="10"/>
    </row>
    <row r="315" spans="5:5" x14ac:dyDescent="0.25">
      <c r="E315" s="10"/>
    </row>
    <row r="316" spans="5:5" x14ac:dyDescent="0.25">
      <c r="E316" s="10"/>
    </row>
    <row r="317" spans="5:5" x14ac:dyDescent="0.25">
      <c r="E317" s="10"/>
    </row>
    <row r="318" spans="5:5" x14ac:dyDescent="0.25">
      <c r="E318" s="10"/>
    </row>
    <row r="319" spans="5:5" x14ac:dyDescent="0.25">
      <c r="E319" s="10"/>
    </row>
    <row r="320" spans="5:5" x14ac:dyDescent="0.25">
      <c r="E320" s="10"/>
    </row>
    <row r="321" spans="5:5" x14ac:dyDescent="0.25">
      <c r="E321" s="10"/>
    </row>
    <row r="322" spans="5:5" x14ac:dyDescent="0.25">
      <c r="E322" s="10"/>
    </row>
    <row r="323" spans="5:5" x14ac:dyDescent="0.25">
      <c r="E323" s="10"/>
    </row>
    <row r="324" spans="5:5" x14ac:dyDescent="0.25">
      <c r="E324" s="10"/>
    </row>
    <row r="325" spans="5:5" x14ac:dyDescent="0.25">
      <c r="E325" s="10"/>
    </row>
    <row r="326" spans="5:5" x14ac:dyDescent="0.25">
      <c r="E326" s="10"/>
    </row>
    <row r="327" spans="5:5" x14ac:dyDescent="0.25">
      <c r="E327" s="10"/>
    </row>
    <row r="328" spans="5:5" x14ac:dyDescent="0.25">
      <c r="E328" s="10"/>
    </row>
    <row r="329" spans="5:5" x14ac:dyDescent="0.25">
      <c r="E329" s="10"/>
    </row>
    <row r="330" spans="5:5" x14ac:dyDescent="0.25">
      <c r="E330" s="10"/>
    </row>
    <row r="331" spans="5:5" x14ac:dyDescent="0.25">
      <c r="E331" s="10"/>
    </row>
    <row r="332" spans="5:5" x14ac:dyDescent="0.25">
      <c r="E332" s="10"/>
    </row>
    <row r="333" spans="5:5" x14ac:dyDescent="0.25">
      <c r="E333" s="10"/>
    </row>
    <row r="334" spans="5:5" x14ac:dyDescent="0.25">
      <c r="E334" s="10"/>
    </row>
    <row r="335" spans="5:5" x14ac:dyDescent="0.25">
      <c r="E335" s="10"/>
    </row>
    <row r="336" spans="5:5" x14ac:dyDescent="0.25">
      <c r="E336" s="10"/>
    </row>
    <row r="337" spans="5:5" x14ac:dyDescent="0.25">
      <c r="E337" s="10"/>
    </row>
    <row r="338" spans="5:5" x14ac:dyDescent="0.25">
      <c r="E338" s="10"/>
    </row>
    <row r="339" spans="5:5" x14ac:dyDescent="0.25">
      <c r="E339" s="10"/>
    </row>
    <row r="340" spans="5:5" x14ac:dyDescent="0.25">
      <c r="E340" s="10"/>
    </row>
    <row r="341" spans="5:5" x14ac:dyDescent="0.25">
      <c r="E341" s="10"/>
    </row>
    <row r="342" spans="5:5" x14ac:dyDescent="0.25">
      <c r="E342" s="10"/>
    </row>
    <row r="343" spans="5:5" x14ac:dyDescent="0.25">
      <c r="E343" s="10"/>
    </row>
    <row r="344" spans="5:5" x14ac:dyDescent="0.25">
      <c r="E344" s="10"/>
    </row>
    <row r="345" spans="5:5" x14ac:dyDescent="0.25">
      <c r="E345" s="10"/>
    </row>
    <row r="346" spans="5:5" x14ac:dyDescent="0.25">
      <c r="E346" s="10"/>
    </row>
    <row r="347" spans="5:5" x14ac:dyDescent="0.25">
      <c r="E347" s="10"/>
    </row>
    <row r="348" spans="5:5" x14ac:dyDescent="0.25">
      <c r="E348" s="10"/>
    </row>
    <row r="349" spans="5:5" x14ac:dyDescent="0.25">
      <c r="E349" s="10"/>
    </row>
    <row r="350" spans="5:5" x14ac:dyDescent="0.25">
      <c r="E350" s="10"/>
    </row>
    <row r="351" spans="5:5" x14ac:dyDescent="0.25">
      <c r="E351" s="10"/>
    </row>
    <row r="352" spans="5:5" x14ac:dyDescent="0.25">
      <c r="E352" s="10"/>
    </row>
    <row r="353" spans="5:5" x14ac:dyDescent="0.25">
      <c r="E353" s="10"/>
    </row>
    <row r="354" spans="5:5" x14ac:dyDescent="0.25">
      <c r="E354" s="10"/>
    </row>
    <row r="355" spans="5:5" x14ac:dyDescent="0.25">
      <c r="E355" s="10"/>
    </row>
    <row r="356" spans="5:5" x14ac:dyDescent="0.25">
      <c r="E356" s="10"/>
    </row>
    <row r="357" spans="5:5" x14ac:dyDescent="0.25">
      <c r="E357" s="10"/>
    </row>
    <row r="358" spans="5:5" x14ac:dyDescent="0.25">
      <c r="E358" s="10"/>
    </row>
    <row r="359" spans="5:5" x14ac:dyDescent="0.25">
      <c r="E359" s="10"/>
    </row>
    <row r="360" spans="5:5" x14ac:dyDescent="0.25">
      <c r="E360" s="10"/>
    </row>
    <row r="361" spans="5:5" x14ac:dyDescent="0.25">
      <c r="E361" s="10"/>
    </row>
    <row r="362" spans="5:5" x14ac:dyDescent="0.25">
      <c r="E362" s="10"/>
    </row>
    <row r="363" spans="5:5" x14ac:dyDescent="0.25">
      <c r="E363" s="10"/>
    </row>
    <row r="364" spans="5:5" x14ac:dyDescent="0.25">
      <c r="E364" s="10"/>
    </row>
    <row r="365" spans="5:5" x14ac:dyDescent="0.25">
      <c r="E365" s="10"/>
    </row>
    <row r="366" spans="5:5" x14ac:dyDescent="0.25">
      <c r="E366" s="10"/>
    </row>
    <row r="367" spans="5:5" x14ac:dyDescent="0.25">
      <c r="E367" s="10"/>
    </row>
    <row r="368" spans="5:5" x14ac:dyDescent="0.25">
      <c r="E368" s="10"/>
    </row>
    <row r="369" spans="5:5" x14ac:dyDescent="0.25">
      <c r="E369" s="10"/>
    </row>
    <row r="370" spans="5:5" x14ac:dyDescent="0.25">
      <c r="E370" s="10"/>
    </row>
    <row r="371" spans="5:5" x14ac:dyDescent="0.25">
      <c r="E371" s="10"/>
    </row>
    <row r="372" spans="5:5" x14ac:dyDescent="0.25">
      <c r="E372" s="10"/>
    </row>
    <row r="373" spans="5:5" x14ac:dyDescent="0.25">
      <c r="E373" s="10"/>
    </row>
    <row r="374" spans="5:5" x14ac:dyDescent="0.25">
      <c r="E374" s="10"/>
    </row>
    <row r="375" spans="5:5" x14ac:dyDescent="0.25">
      <c r="E375" s="10"/>
    </row>
    <row r="376" spans="5:5" x14ac:dyDescent="0.25">
      <c r="E376" s="10"/>
    </row>
    <row r="377" spans="5:5" x14ac:dyDescent="0.25">
      <c r="E377" s="10"/>
    </row>
    <row r="378" spans="5:5" x14ac:dyDescent="0.25">
      <c r="E378" s="10"/>
    </row>
    <row r="379" spans="5:5" x14ac:dyDescent="0.25">
      <c r="E379" s="10"/>
    </row>
    <row r="380" spans="5:5" x14ac:dyDescent="0.25">
      <c r="E380" s="10"/>
    </row>
    <row r="381" spans="5:5" x14ac:dyDescent="0.25">
      <c r="E381" s="10"/>
    </row>
    <row r="382" spans="5:5" x14ac:dyDescent="0.25">
      <c r="E382" s="10"/>
    </row>
    <row r="383" spans="5:5" x14ac:dyDescent="0.25">
      <c r="E383" s="10"/>
    </row>
    <row r="384" spans="5:5" x14ac:dyDescent="0.25">
      <c r="E384" s="10"/>
    </row>
    <row r="385" spans="5:5" x14ac:dyDescent="0.25">
      <c r="E385" s="10"/>
    </row>
    <row r="386" spans="5:5" x14ac:dyDescent="0.25">
      <c r="E386" s="10"/>
    </row>
    <row r="387" spans="5:5" x14ac:dyDescent="0.25">
      <c r="E387" s="10"/>
    </row>
    <row r="388" spans="5:5" x14ac:dyDescent="0.25">
      <c r="E388" s="10"/>
    </row>
    <row r="389" spans="5:5" x14ac:dyDescent="0.25">
      <c r="E389" s="10"/>
    </row>
    <row r="390" spans="5:5" x14ac:dyDescent="0.25">
      <c r="E390" s="10"/>
    </row>
    <row r="391" spans="5:5" x14ac:dyDescent="0.25">
      <c r="E391" s="10"/>
    </row>
    <row r="392" spans="5:5" x14ac:dyDescent="0.25">
      <c r="E392" s="10"/>
    </row>
    <row r="393" spans="5:5" x14ac:dyDescent="0.25">
      <c r="E393" s="10"/>
    </row>
    <row r="394" spans="5:5" x14ac:dyDescent="0.25">
      <c r="E394" s="10"/>
    </row>
    <row r="395" spans="5:5" x14ac:dyDescent="0.25">
      <c r="E395" s="10"/>
    </row>
    <row r="396" spans="5:5" x14ac:dyDescent="0.25">
      <c r="E396" s="10"/>
    </row>
    <row r="397" spans="5:5" x14ac:dyDescent="0.25">
      <c r="E397" s="10"/>
    </row>
    <row r="398" spans="5:5" x14ac:dyDescent="0.25">
      <c r="E398" s="10"/>
    </row>
    <row r="399" spans="5:5" x14ac:dyDescent="0.25">
      <c r="E399" s="10"/>
    </row>
    <row r="400" spans="5:5" x14ac:dyDescent="0.25">
      <c r="E400" s="10"/>
    </row>
    <row r="401" spans="5:5" x14ac:dyDescent="0.25">
      <c r="E401" s="10"/>
    </row>
    <row r="402" spans="5:5" x14ac:dyDescent="0.25">
      <c r="E402" s="10"/>
    </row>
    <row r="403" spans="5:5" x14ac:dyDescent="0.25">
      <c r="E403" s="10"/>
    </row>
    <row r="404" spans="5:5" x14ac:dyDescent="0.25">
      <c r="E404" s="10"/>
    </row>
    <row r="405" spans="5:5" x14ac:dyDescent="0.25">
      <c r="E405" s="10"/>
    </row>
    <row r="406" spans="5:5" x14ac:dyDescent="0.25">
      <c r="E406" s="10"/>
    </row>
    <row r="407" spans="5:5" x14ac:dyDescent="0.25">
      <c r="E407" s="10"/>
    </row>
    <row r="408" spans="5:5" x14ac:dyDescent="0.25">
      <c r="E408" s="10"/>
    </row>
    <row r="409" spans="5:5" x14ac:dyDescent="0.25">
      <c r="E409" s="10"/>
    </row>
    <row r="410" spans="5:5" x14ac:dyDescent="0.25">
      <c r="E410" s="10"/>
    </row>
    <row r="411" spans="5:5" x14ac:dyDescent="0.25">
      <c r="E411" s="10"/>
    </row>
    <row r="412" spans="5:5" x14ac:dyDescent="0.25">
      <c r="E412" s="10"/>
    </row>
    <row r="413" spans="5:5" x14ac:dyDescent="0.25">
      <c r="E413" s="10"/>
    </row>
    <row r="414" spans="5:5" x14ac:dyDescent="0.25">
      <c r="E414" s="10"/>
    </row>
    <row r="415" spans="5:5" x14ac:dyDescent="0.25">
      <c r="E415" s="10"/>
    </row>
    <row r="416" spans="5:5" x14ac:dyDescent="0.25">
      <c r="E416" s="10"/>
    </row>
    <row r="417" spans="5:5" x14ac:dyDescent="0.25">
      <c r="E417" s="10"/>
    </row>
    <row r="418" spans="5:5" x14ac:dyDescent="0.25">
      <c r="E418" s="10"/>
    </row>
    <row r="419" spans="5:5" x14ac:dyDescent="0.25">
      <c r="E419" s="10"/>
    </row>
    <row r="420" spans="5:5" x14ac:dyDescent="0.25">
      <c r="E420" s="10"/>
    </row>
    <row r="421" spans="5:5" x14ac:dyDescent="0.25">
      <c r="E421" s="10"/>
    </row>
    <row r="422" spans="5:5" x14ac:dyDescent="0.25">
      <c r="E422" s="10"/>
    </row>
    <row r="423" spans="5:5" x14ac:dyDescent="0.25">
      <c r="E423" s="10"/>
    </row>
    <row r="424" spans="5:5" x14ac:dyDescent="0.25">
      <c r="E424" s="10"/>
    </row>
    <row r="425" spans="5:5" x14ac:dyDescent="0.25">
      <c r="E425" s="10"/>
    </row>
    <row r="426" spans="5:5" x14ac:dyDescent="0.25">
      <c r="E426" s="10"/>
    </row>
    <row r="427" spans="5:5" x14ac:dyDescent="0.25">
      <c r="E427" s="10"/>
    </row>
    <row r="428" spans="5:5" x14ac:dyDescent="0.25">
      <c r="E428" s="10"/>
    </row>
    <row r="429" spans="5:5" x14ac:dyDescent="0.25">
      <c r="E429" s="10"/>
    </row>
    <row r="430" spans="5:5" x14ac:dyDescent="0.25">
      <c r="E430" s="10"/>
    </row>
    <row r="431" spans="5:5" x14ac:dyDescent="0.25">
      <c r="E431" s="10"/>
    </row>
    <row r="432" spans="5:5" x14ac:dyDescent="0.25">
      <c r="E432" s="10"/>
    </row>
    <row r="433" spans="5:5" x14ac:dyDescent="0.25">
      <c r="E433" s="10"/>
    </row>
    <row r="434" spans="5:5" x14ac:dyDescent="0.25">
      <c r="E434" s="10"/>
    </row>
    <row r="435" spans="5:5" x14ac:dyDescent="0.25">
      <c r="E435" s="10"/>
    </row>
    <row r="436" spans="5:5" x14ac:dyDescent="0.25">
      <c r="E436" s="10"/>
    </row>
    <row r="437" spans="5:5" x14ac:dyDescent="0.25">
      <c r="E437" s="10"/>
    </row>
    <row r="438" spans="5:5" x14ac:dyDescent="0.25">
      <c r="E438" s="10"/>
    </row>
    <row r="439" spans="5:5" x14ac:dyDescent="0.25">
      <c r="E439" s="10"/>
    </row>
    <row r="440" spans="5:5" x14ac:dyDescent="0.25">
      <c r="E440" s="10"/>
    </row>
    <row r="441" spans="5:5" x14ac:dyDescent="0.25">
      <c r="E441" s="10"/>
    </row>
    <row r="442" spans="5:5" x14ac:dyDescent="0.25">
      <c r="E442" s="10"/>
    </row>
    <row r="443" spans="5:5" x14ac:dyDescent="0.25">
      <c r="E443" s="10"/>
    </row>
    <row r="444" spans="5:5" x14ac:dyDescent="0.25">
      <c r="E444" s="10"/>
    </row>
    <row r="445" spans="5:5" x14ac:dyDescent="0.25">
      <c r="E445" s="10"/>
    </row>
    <row r="446" spans="5:5" x14ac:dyDescent="0.25">
      <c r="E446" s="10"/>
    </row>
    <row r="447" spans="5:5" x14ac:dyDescent="0.25">
      <c r="E447" s="10"/>
    </row>
    <row r="448" spans="5:5" x14ac:dyDescent="0.25">
      <c r="E448" s="10"/>
    </row>
    <row r="449" spans="5:5" x14ac:dyDescent="0.25">
      <c r="E449" s="10"/>
    </row>
    <row r="450" spans="5:5" x14ac:dyDescent="0.25">
      <c r="E450" s="10"/>
    </row>
    <row r="451" spans="5:5" x14ac:dyDescent="0.25">
      <c r="E451" s="10"/>
    </row>
    <row r="452" spans="5:5" x14ac:dyDescent="0.25">
      <c r="E452" s="10"/>
    </row>
    <row r="453" spans="5:5" x14ac:dyDescent="0.25">
      <c r="E453" s="10"/>
    </row>
    <row r="454" spans="5:5" x14ac:dyDescent="0.25">
      <c r="E454" s="10"/>
    </row>
    <row r="455" spans="5:5" x14ac:dyDescent="0.25">
      <c r="E455" s="10"/>
    </row>
    <row r="456" spans="5:5" x14ac:dyDescent="0.25">
      <c r="E456" s="10"/>
    </row>
    <row r="457" spans="5:5" x14ac:dyDescent="0.25">
      <c r="E457" s="10"/>
    </row>
    <row r="458" spans="5:5" x14ac:dyDescent="0.25">
      <c r="E458" s="10"/>
    </row>
    <row r="459" spans="5:5" x14ac:dyDescent="0.25">
      <c r="E459" s="10"/>
    </row>
    <row r="460" spans="5:5" x14ac:dyDescent="0.25">
      <c r="E460" s="10"/>
    </row>
    <row r="461" spans="5:5" x14ac:dyDescent="0.25">
      <c r="E461" s="10"/>
    </row>
    <row r="462" spans="5:5" x14ac:dyDescent="0.25">
      <c r="E462" s="10"/>
    </row>
    <row r="463" spans="5:5" x14ac:dyDescent="0.25">
      <c r="E463" s="10"/>
    </row>
    <row r="464" spans="5:5" x14ac:dyDescent="0.25">
      <c r="E464" s="10"/>
    </row>
    <row r="465" spans="5:5" x14ac:dyDescent="0.25">
      <c r="E465" s="10"/>
    </row>
    <row r="466" spans="5:5" x14ac:dyDescent="0.25">
      <c r="E466" s="10"/>
    </row>
    <row r="467" spans="5:5" x14ac:dyDescent="0.25">
      <c r="E467" s="10"/>
    </row>
    <row r="468" spans="5:5" x14ac:dyDescent="0.25">
      <c r="E468" s="10"/>
    </row>
    <row r="469" spans="5:5" x14ac:dyDescent="0.25">
      <c r="E469" s="10"/>
    </row>
    <row r="470" spans="5:5" x14ac:dyDescent="0.25">
      <c r="E470" s="10"/>
    </row>
    <row r="471" spans="5:5" x14ac:dyDescent="0.25">
      <c r="E471" s="10"/>
    </row>
    <row r="472" spans="5:5" x14ac:dyDescent="0.25">
      <c r="E472" s="10"/>
    </row>
    <row r="473" spans="5:5" x14ac:dyDescent="0.25">
      <c r="E473" s="10"/>
    </row>
    <row r="474" spans="5:5" x14ac:dyDescent="0.25">
      <c r="E474" s="10"/>
    </row>
    <row r="475" spans="5:5" x14ac:dyDescent="0.25">
      <c r="E475" s="10"/>
    </row>
    <row r="476" spans="5:5" x14ac:dyDescent="0.25">
      <c r="E476" s="10"/>
    </row>
    <row r="477" spans="5:5" x14ac:dyDescent="0.25">
      <c r="E477" s="10"/>
    </row>
    <row r="478" spans="5:5" x14ac:dyDescent="0.25">
      <c r="E478" s="10"/>
    </row>
    <row r="479" spans="5:5" x14ac:dyDescent="0.25">
      <c r="E479" s="10"/>
    </row>
    <row r="480" spans="5:5" x14ac:dyDescent="0.25">
      <c r="E480" s="10"/>
    </row>
    <row r="481" spans="5:5" x14ac:dyDescent="0.25">
      <c r="E481" s="10"/>
    </row>
    <row r="482" spans="5:5" x14ac:dyDescent="0.25">
      <c r="E482" s="10"/>
    </row>
    <row r="483" spans="5:5" x14ac:dyDescent="0.25">
      <c r="E483" s="10"/>
    </row>
    <row r="484" spans="5:5" x14ac:dyDescent="0.25">
      <c r="E484" s="10"/>
    </row>
    <row r="485" spans="5:5" x14ac:dyDescent="0.25">
      <c r="E485" s="10"/>
    </row>
    <row r="486" spans="5:5" x14ac:dyDescent="0.25">
      <c r="E486" s="10"/>
    </row>
    <row r="487" spans="5:5" x14ac:dyDescent="0.25">
      <c r="E487" s="10"/>
    </row>
    <row r="488" spans="5:5" x14ac:dyDescent="0.25">
      <c r="E488" s="10"/>
    </row>
    <row r="489" spans="5:5" x14ac:dyDescent="0.25">
      <c r="E489" s="10"/>
    </row>
    <row r="490" spans="5:5" x14ac:dyDescent="0.25">
      <c r="E490" s="10"/>
    </row>
    <row r="491" spans="5:5" x14ac:dyDescent="0.25">
      <c r="E491" s="10"/>
    </row>
    <row r="492" spans="5:5" x14ac:dyDescent="0.25">
      <c r="E492" s="10"/>
    </row>
    <row r="493" spans="5:5" x14ac:dyDescent="0.25">
      <c r="E493" s="10"/>
    </row>
    <row r="494" spans="5:5" x14ac:dyDescent="0.25">
      <c r="E494" s="10"/>
    </row>
    <row r="495" spans="5:5" x14ac:dyDescent="0.25">
      <c r="E495" s="10"/>
    </row>
    <row r="496" spans="5:5" x14ac:dyDescent="0.25">
      <c r="E496" s="10"/>
    </row>
    <row r="497" spans="5:5" x14ac:dyDescent="0.25">
      <c r="E497" s="10"/>
    </row>
    <row r="498" spans="5:5" x14ac:dyDescent="0.25">
      <c r="E498" s="10"/>
    </row>
    <row r="499" spans="5:5" x14ac:dyDescent="0.25">
      <c r="E499" s="10"/>
    </row>
    <row r="500" spans="5:5" x14ac:dyDescent="0.25">
      <c r="E500" s="10"/>
    </row>
    <row r="501" spans="5:5" x14ac:dyDescent="0.25">
      <c r="E501" s="10"/>
    </row>
    <row r="502" spans="5:5" x14ac:dyDescent="0.25">
      <c r="E502" s="10"/>
    </row>
    <row r="503" spans="5:5" x14ac:dyDescent="0.25">
      <c r="E503" s="10"/>
    </row>
    <row r="504" spans="5:5" x14ac:dyDescent="0.25">
      <c r="E504" s="10"/>
    </row>
    <row r="505" spans="5:5" x14ac:dyDescent="0.25">
      <c r="E505" s="10"/>
    </row>
    <row r="506" spans="5:5" x14ac:dyDescent="0.25">
      <c r="E506" s="10"/>
    </row>
    <row r="507" spans="5:5" x14ac:dyDescent="0.25">
      <c r="E507" s="10"/>
    </row>
    <row r="508" spans="5:5" x14ac:dyDescent="0.25">
      <c r="E508" s="10"/>
    </row>
    <row r="509" spans="5:5" x14ac:dyDescent="0.25">
      <c r="E509" s="10"/>
    </row>
    <row r="510" spans="5:5" x14ac:dyDescent="0.25">
      <c r="E510" s="10"/>
    </row>
    <row r="511" spans="5:5" x14ac:dyDescent="0.25">
      <c r="E511" s="10"/>
    </row>
    <row r="512" spans="5:5" x14ac:dyDescent="0.25">
      <c r="E512" s="10"/>
    </row>
    <row r="513" spans="5:5" x14ac:dyDescent="0.25">
      <c r="E513" s="10"/>
    </row>
    <row r="514" spans="5:5" x14ac:dyDescent="0.25">
      <c r="E514" s="10"/>
    </row>
    <row r="515" spans="5:5" x14ac:dyDescent="0.25">
      <c r="E515" s="10"/>
    </row>
    <row r="516" spans="5:5" x14ac:dyDescent="0.25">
      <c r="E516" s="10"/>
    </row>
    <row r="517" spans="5:5" x14ac:dyDescent="0.25">
      <c r="E517" s="10"/>
    </row>
    <row r="518" spans="5:5" x14ac:dyDescent="0.25">
      <c r="E518" s="10"/>
    </row>
    <row r="519" spans="5:5" x14ac:dyDescent="0.25">
      <c r="E519" s="10"/>
    </row>
    <row r="520" spans="5:5" x14ac:dyDescent="0.25">
      <c r="E520" s="10"/>
    </row>
    <row r="521" spans="5:5" x14ac:dyDescent="0.25">
      <c r="E521" s="10"/>
    </row>
    <row r="522" spans="5:5" x14ac:dyDescent="0.25">
      <c r="E522" s="10"/>
    </row>
    <row r="523" spans="5:5" x14ac:dyDescent="0.25">
      <c r="E523" s="10"/>
    </row>
    <row r="524" spans="5:5" x14ac:dyDescent="0.25">
      <c r="E524" s="10"/>
    </row>
    <row r="525" spans="5:5" x14ac:dyDescent="0.25">
      <c r="E525" s="10"/>
    </row>
    <row r="526" spans="5:5" x14ac:dyDescent="0.25">
      <c r="E526" s="10"/>
    </row>
    <row r="527" spans="5:5" x14ac:dyDescent="0.25">
      <c r="E527" s="10"/>
    </row>
    <row r="528" spans="5:5" x14ac:dyDescent="0.25">
      <c r="E528" s="10"/>
    </row>
    <row r="529" spans="5:5" x14ac:dyDescent="0.25">
      <c r="E529" s="10"/>
    </row>
    <row r="530" spans="5:5" x14ac:dyDescent="0.25">
      <c r="E530" s="10"/>
    </row>
    <row r="531" spans="5:5" x14ac:dyDescent="0.25">
      <c r="E531" s="10"/>
    </row>
    <row r="532" spans="5:5" x14ac:dyDescent="0.25">
      <c r="E532" s="10"/>
    </row>
    <row r="533" spans="5:5" x14ac:dyDescent="0.25">
      <c r="E533" s="10"/>
    </row>
    <row r="534" spans="5:5" x14ac:dyDescent="0.25">
      <c r="E534" s="10"/>
    </row>
    <row r="535" spans="5:5" x14ac:dyDescent="0.25">
      <c r="E535" s="10"/>
    </row>
    <row r="536" spans="5:5" x14ac:dyDescent="0.25">
      <c r="E536" s="10"/>
    </row>
    <row r="537" spans="5:5" x14ac:dyDescent="0.25">
      <c r="E537" s="10"/>
    </row>
    <row r="538" spans="5:5" x14ac:dyDescent="0.25">
      <c r="E538" s="10"/>
    </row>
    <row r="539" spans="5:5" x14ac:dyDescent="0.25">
      <c r="E539" s="10"/>
    </row>
    <row r="540" spans="5:5" x14ac:dyDescent="0.25">
      <c r="E540" s="10"/>
    </row>
    <row r="541" spans="5:5" x14ac:dyDescent="0.25">
      <c r="E541" s="10"/>
    </row>
    <row r="542" spans="5:5" x14ac:dyDescent="0.25">
      <c r="E542" s="10"/>
    </row>
    <row r="543" spans="5:5" x14ac:dyDescent="0.25">
      <c r="E543" s="10"/>
    </row>
    <row r="544" spans="5:5" x14ac:dyDescent="0.25">
      <c r="E544" s="10"/>
    </row>
    <row r="545" spans="5:5" x14ac:dyDescent="0.25">
      <c r="E545" s="10"/>
    </row>
    <row r="546" spans="5:5" x14ac:dyDescent="0.25">
      <c r="E546" s="10"/>
    </row>
    <row r="547" spans="5:5" x14ac:dyDescent="0.25">
      <c r="E547" s="10"/>
    </row>
    <row r="548" spans="5:5" x14ac:dyDescent="0.25">
      <c r="E548" s="10"/>
    </row>
    <row r="549" spans="5:5" x14ac:dyDescent="0.25">
      <c r="E549" s="10"/>
    </row>
    <row r="550" spans="5:5" x14ac:dyDescent="0.25">
      <c r="E550" s="10"/>
    </row>
    <row r="551" spans="5:5" x14ac:dyDescent="0.25">
      <c r="E551" s="10"/>
    </row>
    <row r="552" spans="5:5" x14ac:dyDescent="0.25">
      <c r="E552" s="10"/>
    </row>
    <row r="553" spans="5:5" x14ac:dyDescent="0.25">
      <c r="E553" s="10"/>
    </row>
    <row r="554" spans="5:5" x14ac:dyDescent="0.25">
      <c r="E554" s="10"/>
    </row>
    <row r="555" spans="5:5" x14ac:dyDescent="0.25">
      <c r="E555" s="10"/>
    </row>
    <row r="556" spans="5:5" x14ac:dyDescent="0.25">
      <c r="E556" s="10"/>
    </row>
    <row r="557" spans="5:5" x14ac:dyDescent="0.25">
      <c r="E557" s="10"/>
    </row>
    <row r="558" spans="5:5" x14ac:dyDescent="0.25">
      <c r="E558" s="10"/>
    </row>
    <row r="559" spans="5:5" x14ac:dyDescent="0.25">
      <c r="E559" s="10"/>
    </row>
    <row r="560" spans="5:5" x14ac:dyDescent="0.25">
      <c r="E560" s="10"/>
    </row>
    <row r="561" spans="5:5" x14ac:dyDescent="0.25">
      <c r="E561" s="10"/>
    </row>
    <row r="562" spans="5:5" x14ac:dyDescent="0.25">
      <c r="E562" s="10"/>
    </row>
    <row r="563" spans="5:5" x14ac:dyDescent="0.25">
      <c r="E563" s="10"/>
    </row>
    <row r="564" spans="5:5" x14ac:dyDescent="0.25">
      <c r="E564" s="10"/>
    </row>
    <row r="565" spans="5:5" x14ac:dyDescent="0.25">
      <c r="E565" s="10"/>
    </row>
    <row r="566" spans="5:5" x14ac:dyDescent="0.25">
      <c r="E566" s="10"/>
    </row>
    <row r="567" spans="5:5" x14ac:dyDescent="0.25">
      <c r="E567" s="10"/>
    </row>
    <row r="568" spans="5:5" x14ac:dyDescent="0.25">
      <c r="E568" s="10"/>
    </row>
    <row r="569" spans="5:5" x14ac:dyDescent="0.25">
      <c r="E569" s="10"/>
    </row>
    <row r="570" spans="5:5" x14ac:dyDescent="0.25">
      <c r="E570" s="10"/>
    </row>
    <row r="571" spans="5:5" x14ac:dyDescent="0.25">
      <c r="E571" s="10"/>
    </row>
    <row r="572" spans="5:5" x14ac:dyDescent="0.25">
      <c r="E572" s="10"/>
    </row>
    <row r="573" spans="5:5" x14ac:dyDescent="0.25">
      <c r="E573" s="10"/>
    </row>
    <row r="574" spans="5:5" x14ac:dyDescent="0.25">
      <c r="E574" s="10"/>
    </row>
    <row r="575" spans="5:5" x14ac:dyDescent="0.25">
      <c r="E575" s="10"/>
    </row>
    <row r="576" spans="5:5" x14ac:dyDescent="0.25">
      <c r="E576" s="10"/>
    </row>
    <row r="577" spans="5:5" x14ac:dyDescent="0.25">
      <c r="E577" s="10"/>
    </row>
    <row r="578" spans="5:5" x14ac:dyDescent="0.25">
      <c r="E578" s="10"/>
    </row>
    <row r="579" spans="5:5" x14ac:dyDescent="0.25">
      <c r="E579" s="10"/>
    </row>
    <row r="580" spans="5:5" x14ac:dyDescent="0.25">
      <c r="E580" s="10"/>
    </row>
    <row r="581" spans="5:5" x14ac:dyDescent="0.25">
      <c r="E581" s="10"/>
    </row>
    <row r="582" spans="5:5" x14ac:dyDescent="0.25">
      <c r="E582" s="10"/>
    </row>
    <row r="583" spans="5:5" x14ac:dyDescent="0.25">
      <c r="E583" s="10"/>
    </row>
    <row r="584" spans="5:5" x14ac:dyDescent="0.25">
      <c r="E584" s="10"/>
    </row>
    <row r="585" spans="5:5" x14ac:dyDescent="0.25">
      <c r="E585" s="10"/>
    </row>
    <row r="586" spans="5:5" x14ac:dyDescent="0.25">
      <c r="E586" s="10"/>
    </row>
    <row r="587" spans="5:5" x14ac:dyDescent="0.25">
      <c r="E587" s="10"/>
    </row>
    <row r="588" spans="5:5" x14ac:dyDescent="0.25">
      <c r="E588" s="10"/>
    </row>
    <row r="589" spans="5:5" x14ac:dyDescent="0.25">
      <c r="E589" s="10"/>
    </row>
    <row r="590" spans="5:5" x14ac:dyDescent="0.25">
      <c r="E590" s="10"/>
    </row>
    <row r="591" spans="5:5" x14ac:dyDescent="0.25">
      <c r="E591" s="10"/>
    </row>
    <row r="592" spans="5:5" x14ac:dyDescent="0.25">
      <c r="E592" s="10"/>
    </row>
    <row r="593" spans="5:5" x14ac:dyDescent="0.25">
      <c r="E593" s="10"/>
    </row>
    <row r="594" spans="5:5" x14ac:dyDescent="0.25">
      <c r="E594" s="10"/>
    </row>
    <row r="595" spans="5:5" x14ac:dyDescent="0.25">
      <c r="E595" s="10"/>
    </row>
    <row r="596" spans="5:5" x14ac:dyDescent="0.25">
      <c r="E596" s="10"/>
    </row>
    <row r="597" spans="5:5" x14ac:dyDescent="0.25">
      <c r="E597" s="10"/>
    </row>
    <row r="598" spans="5:5" x14ac:dyDescent="0.25">
      <c r="E598" s="10"/>
    </row>
    <row r="599" spans="5:5" x14ac:dyDescent="0.25">
      <c r="E599" s="10"/>
    </row>
    <row r="600" spans="5:5" x14ac:dyDescent="0.25">
      <c r="E600" s="10"/>
    </row>
    <row r="601" spans="5:5" x14ac:dyDescent="0.25">
      <c r="E601" s="10"/>
    </row>
    <row r="602" spans="5:5" x14ac:dyDescent="0.25">
      <c r="E602" s="10"/>
    </row>
    <row r="603" spans="5:5" x14ac:dyDescent="0.25">
      <c r="E603" s="10"/>
    </row>
    <row r="604" spans="5:5" x14ac:dyDescent="0.25">
      <c r="E604" s="10"/>
    </row>
    <row r="605" spans="5:5" x14ac:dyDescent="0.25">
      <c r="E605" s="10"/>
    </row>
    <row r="606" spans="5:5" x14ac:dyDescent="0.25">
      <c r="E606" s="10"/>
    </row>
    <row r="607" spans="5:5" x14ac:dyDescent="0.25">
      <c r="E607" s="10"/>
    </row>
    <row r="608" spans="5:5" x14ac:dyDescent="0.25">
      <c r="E608" s="10"/>
    </row>
    <row r="609" spans="5:5" x14ac:dyDescent="0.25">
      <c r="E609" s="10"/>
    </row>
    <row r="610" spans="5:5" x14ac:dyDescent="0.25">
      <c r="E610" s="10"/>
    </row>
    <row r="611" spans="5:5" x14ac:dyDescent="0.25">
      <c r="E611" s="10"/>
    </row>
    <row r="612" spans="5:5" x14ac:dyDescent="0.25">
      <c r="E612" s="10"/>
    </row>
    <row r="613" spans="5:5" x14ac:dyDescent="0.25">
      <c r="E613" s="10"/>
    </row>
    <row r="614" spans="5:5" x14ac:dyDescent="0.25">
      <c r="E614" s="10"/>
    </row>
    <row r="615" spans="5:5" x14ac:dyDescent="0.25">
      <c r="E615" s="10"/>
    </row>
    <row r="616" spans="5:5" x14ac:dyDescent="0.25">
      <c r="E616" s="10"/>
    </row>
    <row r="617" spans="5:5" x14ac:dyDescent="0.25">
      <c r="E617" s="10"/>
    </row>
    <row r="618" spans="5:5" x14ac:dyDescent="0.25">
      <c r="E618" s="10"/>
    </row>
    <row r="619" spans="5:5" x14ac:dyDescent="0.25">
      <c r="E619" s="10"/>
    </row>
    <row r="620" spans="5:5" x14ac:dyDescent="0.25">
      <c r="E620" s="10"/>
    </row>
    <row r="621" spans="5:5" x14ac:dyDescent="0.25">
      <c r="E621" s="10"/>
    </row>
    <row r="622" spans="5:5" x14ac:dyDescent="0.25">
      <c r="E622" s="10"/>
    </row>
    <row r="623" spans="5:5" x14ac:dyDescent="0.25">
      <c r="E623" s="10"/>
    </row>
    <row r="624" spans="5:5" x14ac:dyDescent="0.25">
      <c r="E624" s="10"/>
    </row>
    <row r="625" spans="5:5" x14ac:dyDescent="0.25">
      <c r="E625" s="10"/>
    </row>
    <row r="626" spans="5:5" x14ac:dyDescent="0.25">
      <c r="E626" s="10"/>
    </row>
    <row r="627" spans="5:5" x14ac:dyDescent="0.25">
      <c r="E627" s="10"/>
    </row>
    <row r="628" spans="5:5" x14ac:dyDescent="0.25">
      <c r="E628" s="10"/>
    </row>
    <row r="629" spans="5:5" x14ac:dyDescent="0.25">
      <c r="E629" s="10"/>
    </row>
    <row r="630" spans="5:5" x14ac:dyDescent="0.25">
      <c r="E630" s="10"/>
    </row>
    <row r="631" spans="5:5" x14ac:dyDescent="0.25">
      <c r="E631" s="10"/>
    </row>
    <row r="632" spans="5:5" x14ac:dyDescent="0.25">
      <c r="E632" s="10"/>
    </row>
    <row r="633" spans="5:5" x14ac:dyDescent="0.25">
      <c r="E633" s="10"/>
    </row>
    <row r="634" spans="5:5" x14ac:dyDescent="0.25">
      <c r="E634" s="10"/>
    </row>
    <row r="635" spans="5:5" x14ac:dyDescent="0.25">
      <c r="E635" s="10"/>
    </row>
    <row r="636" spans="5:5" x14ac:dyDescent="0.25">
      <c r="E636" s="10"/>
    </row>
    <row r="637" spans="5:5" x14ac:dyDescent="0.25">
      <c r="E637" s="10"/>
    </row>
    <row r="638" spans="5:5" x14ac:dyDescent="0.25">
      <c r="E638" s="10"/>
    </row>
    <row r="639" spans="5:5" x14ac:dyDescent="0.25">
      <c r="E639" s="10"/>
    </row>
    <row r="640" spans="5:5" x14ac:dyDescent="0.25">
      <c r="E640" s="10"/>
    </row>
    <row r="641" spans="5:5" x14ac:dyDescent="0.25">
      <c r="E641" s="10"/>
    </row>
    <row r="642" spans="5:5" x14ac:dyDescent="0.25">
      <c r="E642" s="10"/>
    </row>
    <row r="643" spans="5:5" x14ac:dyDescent="0.25">
      <c r="E643" s="10"/>
    </row>
    <row r="644" spans="5:5" x14ac:dyDescent="0.25">
      <c r="E644" s="10"/>
    </row>
    <row r="645" spans="5:5" x14ac:dyDescent="0.25">
      <c r="E645" s="10"/>
    </row>
    <row r="646" spans="5:5" x14ac:dyDescent="0.25">
      <c r="E646" s="10"/>
    </row>
    <row r="647" spans="5:5" x14ac:dyDescent="0.25">
      <c r="E647" s="10"/>
    </row>
    <row r="648" spans="5:5" x14ac:dyDescent="0.25">
      <c r="E648" s="10"/>
    </row>
    <row r="649" spans="5:5" x14ac:dyDescent="0.25">
      <c r="E649" s="10"/>
    </row>
    <row r="650" spans="5:5" x14ac:dyDescent="0.25">
      <c r="E650" s="10"/>
    </row>
    <row r="651" spans="5:5" x14ac:dyDescent="0.25">
      <c r="E651" s="10"/>
    </row>
    <row r="652" spans="5:5" x14ac:dyDescent="0.25">
      <c r="E652" s="10"/>
    </row>
    <row r="653" spans="5:5" x14ac:dyDescent="0.25">
      <c r="E653" s="10"/>
    </row>
    <row r="654" spans="5:5" x14ac:dyDescent="0.25">
      <c r="E654" s="10"/>
    </row>
    <row r="655" spans="5:5" x14ac:dyDescent="0.25">
      <c r="E655" s="10"/>
    </row>
    <row r="656" spans="5:5" x14ac:dyDescent="0.25">
      <c r="E656" s="10"/>
    </row>
    <row r="657" spans="5:5" x14ac:dyDescent="0.25">
      <c r="E657" s="10"/>
    </row>
    <row r="658" spans="5:5" x14ac:dyDescent="0.25">
      <c r="E658" s="10"/>
    </row>
    <row r="659" spans="5:5" x14ac:dyDescent="0.25">
      <c r="E659" s="10"/>
    </row>
    <row r="660" spans="5:5" x14ac:dyDescent="0.25">
      <c r="E660" s="10"/>
    </row>
    <row r="661" spans="5:5" x14ac:dyDescent="0.25">
      <c r="E661" s="10"/>
    </row>
    <row r="662" spans="5:5" x14ac:dyDescent="0.25">
      <c r="E662" s="10"/>
    </row>
    <row r="663" spans="5:5" x14ac:dyDescent="0.25">
      <c r="E663" s="10"/>
    </row>
    <row r="664" spans="5:5" x14ac:dyDescent="0.25">
      <c r="E664" s="10"/>
    </row>
    <row r="665" spans="5:5" x14ac:dyDescent="0.25">
      <c r="E665" s="10"/>
    </row>
    <row r="666" spans="5:5" x14ac:dyDescent="0.25">
      <c r="E666" s="10"/>
    </row>
    <row r="667" spans="5:5" x14ac:dyDescent="0.25">
      <c r="E667" s="10"/>
    </row>
    <row r="668" spans="5:5" x14ac:dyDescent="0.25">
      <c r="E668" s="10"/>
    </row>
    <row r="669" spans="5:5" x14ac:dyDescent="0.25">
      <c r="E669" s="10"/>
    </row>
    <row r="670" spans="5:5" x14ac:dyDescent="0.25">
      <c r="E670" s="10"/>
    </row>
    <row r="671" spans="5:5" x14ac:dyDescent="0.25">
      <c r="E671" s="10"/>
    </row>
    <row r="672" spans="5:5" x14ac:dyDescent="0.25">
      <c r="E672" s="10"/>
    </row>
    <row r="673" spans="5:5" x14ac:dyDescent="0.25">
      <c r="E673" s="10"/>
    </row>
    <row r="674" spans="5:5" x14ac:dyDescent="0.25">
      <c r="E674" s="10"/>
    </row>
    <row r="675" spans="5:5" x14ac:dyDescent="0.25">
      <c r="E675" s="10"/>
    </row>
    <row r="676" spans="5:5" x14ac:dyDescent="0.25">
      <c r="E676" s="10"/>
    </row>
    <row r="677" spans="5:5" x14ac:dyDescent="0.25">
      <c r="E677" s="10"/>
    </row>
    <row r="678" spans="5:5" x14ac:dyDescent="0.25">
      <c r="E678" s="10"/>
    </row>
    <row r="679" spans="5:5" x14ac:dyDescent="0.25">
      <c r="E679" s="10"/>
    </row>
    <row r="680" spans="5:5" x14ac:dyDescent="0.25">
      <c r="E680" s="10"/>
    </row>
    <row r="681" spans="5:5" x14ac:dyDescent="0.25">
      <c r="E681" s="10"/>
    </row>
    <row r="682" spans="5:5" x14ac:dyDescent="0.25">
      <c r="E682" s="10"/>
    </row>
    <row r="683" spans="5:5" x14ac:dyDescent="0.25">
      <c r="E683" s="10"/>
    </row>
    <row r="684" spans="5:5" x14ac:dyDescent="0.25">
      <c r="E684" s="10"/>
    </row>
    <row r="685" spans="5:5" x14ac:dyDescent="0.25">
      <c r="E685" s="10"/>
    </row>
    <row r="686" spans="5:5" x14ac:dyDescent="0.25">
      <c r="E686" s="10"/>
    </row>
    <row r="687" spans="5:5" x14ac:dyDescent="0.25">
      <c r="E687" s="10"/>
    </row>
    <row r="688" spans="5:5" x14ac:dyDescent="0.25">
      <c r="E688" s="10"/>
    </row>
    <row r="689" spans="5:5" x14ac:dyDescent="0.25">
      <c r="E689" s="10"/>
    </row>
    <row r="690" spans="5:5" x14ac:dyDescent="0.25">
      <c r="E690" s="10"/>
    </row>
    <row r="691" spans="5:5" x14ac:dyDescent="0.25">
      <c r="E691" s="10"/>
    </row>
    <row r="692" spans="5:5" x14ac:dyDescent="0.25">
      <c r="E692" s="10"/>
    </row>
    <row r="693" spans="5:5" x14ac:dyDescent="0.25">
      <c r="E693" s="10"/>
    </row>
    <row r="694" spans="5:5" x14ac:dyDescent="0.25">
      <c r="E694" s="10"/>
    </row>
    <row r="695" spans="5:5" x14ac:dyDescent="0.25">
      <c r="E695" s="10"/>
    </row>
    <row r="696" spans="5:5" x14ac:dyDescent="0.25">
      <c r="E696" s="10"/>
    </row>
    <row r="697" spans="5:5" x14ac:dyDescent="0.25">
      <c r="E697" s="10"/>
    </row>
    <row r="698" spans="5:5" x14ac:dyDescent="0.25">
      <c r="E698" s="10"/>
    </row>
    <row r="699" spans="5:5" x14ac:dyDescent="0.25">
      <c r="E699" s="10"/>
    </row>
    <row r="700" spans="5:5" x14ac:dyDescent="0.25">
      <c r="E700" s="10"/>
    </row>
    <row r="701" spans="5:5" x14ac:dyDescent="0.25">
      <c r="E701" s="10"/>
    </row>
    <row r="702" spans="5:5" x14ac:dyDescent="0.25">
      <c r="E702" s="10"/>
    </row>
    <row r="703" spans="5:5" x14ac:dyDescent="0.25">
      <c r="E703" s="10"/>
    </row>
    <row r="704" spans="5:5" x14ac:dyDescent="0.25">
      <c r="E704" s="10"/>
    </row>
    <row r="705" spans="5:5" x14ac:dyDescent="0.25">
      <c r="E705" s="10"/>
    </row>
    <row r="706" spans="5:5" x14ac:dyDescent="0.25">
      <c r="E706" s="10"/>
    </row>
    <row r="707" spans="5:5" x14ac:dyDescent="0.25">
      <c r="E707" s="10"/>
    </row>
    <row r="708" spans="5:5" x14ac:dyDescent="0.25">
      <c r="E708" s="10"/>
    </row>
    <row r="709" spans="5:5" x14ac:dyDescent="0.25">
      <c r="E709" s="10"/>
    </row>
    <row r="710" spans="5:5" x14ac:dyDescent="0.25">
      <c r="E710" s="10"/>
    </row>
    <row r="711" spans="5:5" x14ac:dyDescent="0.25">
      <c r="E711" s="10"/>
    </row>
    <row r="712" spans="5:5" x14ac:dyDescent="0.25">
      <c r="E712" s="10"/>
    </row>
    <row r="713" spans="5:5" x14ac:dyDescent="0.25">
      <c r="E713" s="10"/>
    </row>
    <row r="714" spans="5:5" x14ac:dyDescent="0.25">
      <c r="E714" s="10"/>
    </row>
    <row r="715" spans="5:5" x14ac:dyDescent="0.25">
      <c r="E715" s="10"/>
    </row>
    <row r="716" spans="5:5" x14ac:dyDescent="0.25">
      <c r="E716" s="10"/>
    </row>
    <row r="717" spans="5:5" x14ac:dyDescent="0.25">
      <c r="E717" s="10"/>
    </row>
    <row r="718" spans="5:5" x14ac:dyDescent="0.25">
      <c r="E718" s="10"/>
    </row>
    <row r="719" spans="5:5" x14ac:dyDescent="0.25">
      <c r="E719" s="10"/>
    </row>
    <row r="720" spans="5:5" x14ac:dyDescent="0.25">
      <c r="E720" s="10"/>
    </row>
    <row r="721" spans="5:5" x14ac:dyDescent="0.25">
      <c r="E721" s="10"/>
    </row>
    <row r="722" spans="5:5" x14ac:dyDescent="0.25">
      <c r="E722" s="10"/>
    </row>
    <row r="723" spans="5:5" x14ac:dyDescent="0.25">
      <c r="E723" s="10"/>
    </row>
    <row r="724" spans="5:5" x14ac:dyDescent="0.25">
      <c r="E724" s="10"/>
    </row>
    <row r="725" spans="5:5" x14ac:dyDescent="0.25">
      <c r="E725" s="10"/>
    </row>
    <row r="726" spans="5:5" x14ac:dyDescent="0.25">
      <c r="E726" s="10"/>
    </row>
    <row r="727" spans="5:5" x14ac:dyDescent="0.25">
      <c r="E727" s="10"/>
    </row>
    <row r="728" spans="5:5" x14ac:dyDescent="0.25">
      <c r="E728" s="10"/>
    </row>
    <row r="729" spans="5:5" x14ac:dyDescent="0.25">
      <c r="E729" s="10"/>
    </row>
    <row r="730" spans="5:5" x14ac:dyDescent="0.25">
      <c r="E730" s="10"/>
    </row>
    <row r="731" spans="5:5" x14ac:dyDescent="0.25">
      <c r="E731" s="10"/>
    </row>
    <row r="732" spans="5:5" x14ac:dyDescent="0.25">
      <c r="E732" s="10"/>
    </row>
    <row r="733" spans="5:5" x14ac:dyDescent="0.25">
      <c r="E733" s="10"/>
    </row>
    <row r="734" spans="5:5" x14ac:dyDescent="0.25">
      <c r="E734" s="10"/>
    </row>
    <row r="735" spans="5:5" x14ac:dyDescent="0.25">
      <c r="E735" s="10"/>
    </row>
    <row r="736" spans="5:5" x14ac:dyDescent="0.25">
      <c r="E736" s="10"/>
    </row>
    <row r="737" spans="5:5" x14ac:dyDescent="0.25">
      <c r="E737" s="10"/>
    </row>
    <row r="738" spans="5:5" x14ac:dyDescent="0.25">
      <c r="E738" s="10"/>
    </row>
    <row r="739" spans="5:5" x14ac:dyDescent="0.25">
      <c r="E739" s="10"/>
    </row>
    <row r="740" spans="5:5" x14ac:dyDescent="0.25">
      <c r="E740" s="10"/>
    </row>
    <row r="741" spans="5:5" x14ac:dyDescent="0.25">
      <c r="E741" s="10"/>
    </row>
    <row r="742" spans="5:5" x14ac:dyDescent="0.25">
      <c r="E742" s="10"/>
    </row>
    <row r="743" spans="5:5" x14ac:dyDescent="0.25">
      <c r="E743" s="10"/>
    </row>
    <row r="744" spans="5:5" x14ac:dyDescent="0.25">
      <c r="E744" s="10"/>
    </row>
    <row r="745" spans="5:5" x14ac:dyDescent="0.25">
      <c r="E745" s="10"/>
    </row>
    <row r="746" spans="5:5" x14ac:dyDescent="0.25">
      <c r="E746" s="10"/>
    </row>
    <row r="747" spans="5:5" x14ac:dyDescent="0.25">
      <c r="E747" s="10"/>
    </row>
    <row r="748" spans="5:5" x14ac:dyDescent="0.25">
      <c r="E748" s="10"/>
    </row>
    <row r="749" spans="5:5" x14ac:dyDescent="0.25">
      <c r="E749" s="10"/>
    </row>
    <row r="750" spans="5:5" x14ac:dyDescent="0.25">
      <c r="E750" s="10"/>
    </row>
    <row r="751" spans="5:5" x14ac:dyDescent="0.25">
      <c r="E751" s="10"/>
    </row>
    <row r="752" spans="5:5" x14ac:dyDescent="0.25">
      <c r="E752" s="10"/>
    </row>
    <row r="753" spans="5:5" x14ac:dyDescent="0.25">
      <c r="E753" s="10"/>
    </row>
    <row r="754" spans="5:5" x14ac:dyDescent="0.25">
      <c r="E754" s="10"/>
    </row>
    <row r="755" spans="5:5" x14ac:dyDescent="0.25">
      <c r="E755" s="10"/>
    </row>
    <row r="756" spans="5:5" x14ac:dyDescent="0.25">
      <c r="E756" s="10"/>
    </row>
    <row r="757" spans="5:5" x14ac:dyDescent="0.25">
      <c r="E757" s="10"/>
    </row>
    <row r="758" spans="5:5" x14ac:dyDescent="0.25">
      <c r="E758" s="10"/>
    </row>
    <row r="759" spans="5:5" x14ac:dyDescent="0.25">
      <c r="E759" s="10"/>
    </row>
    <row r="760" spans="5:5" x14ac:dyDescent="0.25">
      <c r="E760" s="10"/>
    </row>
    <row r="761" spans="5:5" x14ac:dyDescent="0.25">
      <c r="E761" s="10"/>
    </row>
    <row r="762" spans="5:5" x14ac:dyDescent="0.25">
      <c r="E762" s="10"/>
    </row>
    <row r="763" spans="5:5" x14ac:dyDescent="0.25">
      <c r="E763" s="10"/>
    </row>
    <row r="764" spans="5:5" x14ac:dyDescent="0.25">
      <c r="E764" s="10"/>
    </row>
    <row r="765" spans="5:5" x14ac:dyDescent="0.25">
      <c r="E765" s="10"/>
    </row>
    <row r="766" spans="5:5" x14ac:dyDescent="0.25">
      <c r="E766" s="10"/>
    </row>
    <row r="767" spans="5:5" x14ac:dyDescent="0.25">
      <c r="E767" s="10"/>
    </row>
    <row r="768" spans="5:5" x14ac:dyDescent="0.25">
      <c r="E768" s="10"/>
    </row>
    <row r="769" spans="5:5" x14ac:dyDescent="0.25">
      <c r="E769" s="10"/>
    </row>
    <row r="770" spans="5:5" x14ac:dyDescent="0.25">
      <c r="E770" s="10"/>
    </row>
    <row r="771" spans="5:5" x14ac:dyDescent="0.25">
      <c r="E771" s="10"/>
    </row>
    <row r="772" spans="5:5" x14ac:dyDescent="0.25">
      <c r="E772" s="10"/>
    </row>
    <row r="773" spans="5:5" x14ac:dyDescent="0.25">
      <c r="E773" s="10"/>
    </row>
    <row r="774" spans="5:5" x14ac:dyDescent="0.25">
      <c r="E774" s="10"/>
    </row>
    <row r="775" spans="5:5" x14ac:dyDescent="0.25">
      <c r="E775" s="10"/>
    </row>
    <row r="776" spans="5:5" x14ac:dyDescent="0.25">
      <c r="E776" s="10"/>
    </row>
    <row r="777" spans="5:5" x14ac:dyDescent="0.25">
      <c r="E777" s="10"/>
    </row>
    <row r="778" spans="5:5" x14ac:dyDescent="0.25">
      <c r="E778" s="10"/>
    </row>
    <row r="779" spans="5:5" x14ac:dyDescent="0.25">
      <c r="E779" s="10"/>
    </row>
    <row r="780" spans="5:5" x14ac:dyDescent="0.25">
      <c r="E780" s="10"/>
    </row>
    <row r="781" spans="5:5" x14ac:dyDescent="0.25">
      <c r="E781" s="10"/>
    </row>
    <row r="782" spans="5:5" x14ac:dyDescent="0.25">
      <c r="E782" s="10"/>
    </row>
    <row r="783" spans="5:5" x14ac:dyDescent="0.25">
      <c r="E783" s="10"/>
    </row>
    <row r="784" spans="5:5" x14ac:dyDescent="0.25">
      <c r="E784" s="10"/>
    </row>
    <row r="785" spans="5:5" x14ac:dyDescent="0.25">
      <c r="E785" s="10"/>
    </row>
    <row r="786" spans="5:5" x14ac:dyDescent="0.25">
      <c r="E786" s="10"/>
    </row>
    <row r="787" spans="5:5" x14ac:dyDescent="0.25">
      <c r="E787" s="10"/>
    </row>
    <row r="788" spans="5:5" x14ac:dyDescent="0.25">
      <c r="E788" s="10"/>
    </row>
    <row r="789" spans="5:5" x14ac:dyDescent="0.25">
      <c r="E789" s="10"/>
    </row>
    <row r="790" spans="5:5" x14ac:dyDescent="0.25">
      <c r="E790" s="10"/>
    </row>
    <row r="791" spans="5:5" x14ac:dyDescent="0.25">
      <c r="E791" s="10"/>
    </row>
    <row r="792" spans="5:5" x14ac:dyDescent="0.25">
      <c r="E792" s="10"/>
    </row>
    <row r="793" spans="5:5" x14ac:dyDescent="0.25">
      <c r="E793" s="10"/>
    </row>
    <row r="794" spans="5:5" x14ac:dyDescent="0.25">
      <c r="E794" s="10"/>
    </row>
    <row r="795" spans="5:5" x14ac:dyDescent="0.25">
      <c r="E795" s="10"/>
    </row>
    <row r="796" spans="5:5" x14ac:dyDescent="0.25">
      <c r="E796" s="10"/>
    </row>
    <row r="797" spans="5:5" x14ac:dyDescent="0.25">
      <c r="E797" s="10"/>
    </row>
    <row r="798" spans="5:5" x14ac:dyDescent="0.25">
      <c r="E798" s="10"/>
    </row>
    <row r="799" spans="5:5" x14ac:dyDescent="0.25">
      <c r="E799" s="10"/>
    </row>
    <row r="800" spans="5:5" x14ac:dyDescent="0.25">
      <c r="E800" s="10"/>
    </row>
    <row r="801" spans="5:5" x14ac:dyDescent="0.25">
      <c r="E801" s="10"/>
    </row>
    <row r="802" spans="5:5" x14ac:dyDescent="0.25">
      <c r="E802" s="10"/>
    </row>
    <row r="803" spans="5:5" x14ac:dyDescent="0.25">
      <c r="E803" s="10"/>
    </row>
    <row r="804" spans="5:5" x14ac:dyDescent="0.25">
      <c r="E804" s="10"/>
    </row>
    <row r="805" spans="5:5" x14ac:dyDescent="0.25">
      <c r="E805" s="10"/>
    </row>
    <row r="806" spans="5:5" x14ac:dyDescent="0.25">
      <c r="E806" s="10"/>
    </row>
    <row r="807" spans="5:5" x14ac:dyDescent="0.25">
      <c r="E807" s="10"/>
    </row>
    <row r="808" spans="5:5" x14ac:dyDescent="0.25">
      <c r="E808" s="10"/>
    </row>
    <row r="809" spans="5:5" x14ac:dyDescent="0.25">
      <c r="E809" s="10"/>
    </row>
    <row r="810" spans="5:5" x14ac:dyDescent="0.25">
      <c r="E810" s="10"/>
    </row>
    <row r="811" spans="5:5" x14ac:dyDescent="0.25">
      <c r="E811" s="10"/>
    </row>
    <row r="812" spans="5:5" x14ac:dyDescent="0.25">
      <c r="E812" s="10"/>
    </row>
    <row r="813" spans="5:5" x14ac:dyDescent="0.25">
      <c r="E813" s="10"/>
    </row>
    <row r="814" spans="5:5" x14ac:dyDescent="0.25">
      <c r="E814" s="10"/>
    </row>
    <row r="815" spans="5:5" x14ac:dyDescent="0.25">
      <c r="E815" s="10"/>
    </row>
    <row r="816" spans="5:5" x14ac:dyDescent="0.25">
      <c r="E816" s="10"/>
    </row>
    <row r="817" spans="5:5" x14ac:dyDescent="0.25">
      <c r="E817" s="10"/>
    </row>
    <row r="818" spans="5:5" x14ac:dyDescent="0.25">
      <c r="E818" s="10"/>
    </row>
    <row r="819" spans="5:5" x14ac:dyDescent="0.25">
      <c r="E819" s="10"/>
    </row>
    <row r="820" spans="5:5" x14ac:dyDescent="0.25">
      <c r="E820" s="10"/>
    </row>
    <row r="821" spans="5:5" x14ac:dyDescent="0.25">
      <c r="E821" s="10"/>
    </row>
    <row r="822" spans="5:5" x14ac:dyDescent="0.25">
      <c r="E822" s="10"/>
    </row>
    <row r="823" spans="5:5" x14ac:dyDescent="0.25">
      <c r="E823" s="10"/>
    </row>
    <row r="824" spans="5:5" x14ac:dyDescent="0.25">
      <c r="E824" s="10"/>
    </row>
    <row r="825" spans="5:5" x14ac:dyDescent="0.25">
      <c r="E825" s="10"/>
    </row>
    <row r="826" spans="5:5" x14ac:dyDescent="0.25">
      <c r="E826" s="10"/>
    </row>
    <row r="827" spans="5:5" x14ac:dyDescent="0.25">
      <c r="E827" s="10"/>
    </row>
    <row r="828" spans="5:5" x14ac:dyDescent="0.25">
      <c r="E828" s="10"/>
    </row>
    <row r="829" spans="5:5" x14ac:dyDescent="0.25">
      <c r="E829" s="10"/>
    </row>
    <row r="830" spans="5:5" x14ac:dyDescent="0.25">
      <c r="E830" s="10"/>
    </row>
    <row r="831" spans="5:5" x14ac:dyDescent="0.25">
      <c r="E831" s="10"/>
    </row>
    <row r="832" spans="5:5" x14ac:dyDescent="0.25">
      <c r="E832" s="10"/>
    </row>
    <row r="833" spans="5:5" x14ac:dyDescent="0.25">
      <c r="E833" s="10"/>
    </row>
    <row r="834" spans="5:5" x14ac:dyDescent="0.25">
      <c r="E834" s="10"/>
    </row>
    <row r="835" spans="5:5" x14ac:dyDescent="0.25">
      <c r="E835" s="10"/>
    </row>
    <row r="836" spans="5:5" x14ac:dyDescent="0.25">
      <c r="E836" s="10"/>
    </row>
    <row r="837" spans="5:5" x14ac:dyDescent="0.25">
      <c r="E837" s="10"/>
    </row>
    <row r="838" spans="5:5" x14ac:dyDescent="0.25">
      <c r="E838" s="10"/>
    </row>
    <row r="839" spans="5:5" x14ac:dyDescent="0.25">
      <c r="E839" s="10"/>
    </row>
    <row r="840" spans="5:5" x14ac:dyDescent="0.25">
      <c r="E840" s="10"/>
    </row>
    <row r="841" spans="5:5" x14ac:dyDescent="0.25">
      <c r="E841" s="10"/>
    </row>
    <row r="842" spans="5:5" x14ac:dyDescent="0.25">
      <c r="E842" s="10"/>
    </row>
    <row r="843" spans="5:5" x14ac:dyDescent="0.25">
      <c r="E843" s="10"/>
    </row>
    <row r="844" spans="5:5" x14ac:dyDescent="0.25">
      <c r="E844" s="10"/>
    </row>
    <row r="845" spans="5:5" x14ac:dyDescent="0.25">
      <c r="E845" s="10"/>
    </row>
    <row r="846" spans="5:5" x14ac:dyDescent="0.25">
      <c r="E846" s="10"/>
    </row>
    <row r="847" spans="5:5" x14ac:dyDescent="0.25">
      <c r="E847" s="10"/>
    </row>
    <row r="848" spans="5:5" x14ac:dyDescent="0.25">
      <c r="E848" s="10"/>
    </row>
    <row r="849" spans="5:5" x14ac:dyDescent="0.25">
      <c r="E849" s="10"/>
    </row>
    <row r="850" spans="5:5" x14ac:dyDescent="0.25">
      <c r="E850" s="10"/>
    </row>
    <row r="851" spans="5:5" x14ac:dyDescent="0.25">
      <c r="E851" s="10"/>
    </row>
    <row r="852" spans="5:5" x14ac:dyDescent="0.25">
      <c r="E852" s="10"/>
    </row>
    <row r="853" spans="5:5" x14ac:dyDescent="0.25">
      <c r="E853" s="10"/>
    </row>
    <row r="854" spans="5:5" x14ac:dyDescent="0.25">
      <c r="E854" s="10"/>
    </row>
    <row r="855" spans="5:5" x14ac:dyDescent="0.25">
      <c r="E855" s="10"/>
    </row>
    <row r="856" spans="5:5" x14ac:dyDescent="0.25">
      <c r="E856" s="10"/>
    </row>
    <row r="857" spans="5:5" x14ac:dyDescent="0.25">
      <c r="E857" s="10"/>
    </row>
    <row r="858" spans="5:5" x14ac:dyDescent="0.25">
      <c r="E858" s="10"/>
    </row>
    <row r="859" spans="5:5" x14ac:dyDescent="0.25">
      <c r="E859" s="10"/>
    </row>
    <row r="860" spans="5:5" x14ac:dyDescent="0.25">
      <c r="E860" s="10"/>
    </row>
    <row r="861" spans="5:5" x14ac:dyDescent="0.25">
      <c r="E861" s="10"/>
    </row>
    <row r="862" spans="5:5" x14ac:dyDescent="0.25">
      <c r="E862" s="10"/>
    </row>
    <row r="863" spans="5:5" x14ac:dyDescent="0.25">
      <c r="E863" s="10"/>
    </row>
    <row r="864" spans="5:5" x14ac:dyDescent="0.25">
      <c r="E864" s="10"/>
    </row>
    <row r="865" spans="5:5" x14ac:dyDescent="0.25">
      <c r="E865" s="10"/>
    </row>
    <row r="866" spans="5:5" x14ac:dyDescent="0.25">
      <c r="E866" s="10"/>
    </row>
    <row r="867" spans="5:5" x14ac:dyDescent="0.25">
      <c r="E867" s="10"/>
    </row>
    <row r="868" spans="5:5" x14ac:dyDescent="0.25">
      <c r="E868" s="10"/>
    </row>
    <row r="869" spans="5:5" x14ac:dyDescent="0.25">
      <c r="E869" s="10"/>
    </row>
    <row r="870" spans="5:5" x14ac:dyDescent="0.25">
      <c r="E870" s="10"/>
    </row>
    <row r="871" spans="5:5" x14ac:dyDescent="0.25">
      <c r="E871" s="10"/>
    </row>
    <row r="872" spans="5:5" x14ac:dyDescent="0.25">
      <c r="E872" s="10"/>
    </row>
    <row r="873" spans="5:5" x14ac:dyDescent="0.25">
      <c r="E873" s="10"/>
    </row>
    <row r="874" spans="5:5" x14ac:dyDescent="0.25">
      <c r="E874" s="10"/>
    </row>
    <row r="875" spans="5:5" x14ac:dyDescent="0.25">
      <c r="E875" s="10"/>
    </row>
    <row r="876" spans="5:5" x14ac:dyDescent="0.25">
      <c r="E876" s="10"/>
    </row>
    <row r="877" spans="5:5" x14ac:dyDescent="0.25">
      <c r="E877" s="10"/>
    </row>
    <row r="878" spans="5:5" x14ac:dyDescent="0.25">
      <c r="E878" s="10"/>
    </row>
    <row r="879" spans="5:5" x14ac:dyDescent="0.25">
      <c r="E879" s="10"/>
    </row>
    <row r="880" spans="5:5" x14ac:dyDescent="0.25">
      <c r="E880" s="10"/>
    </row>
    <row r="881" spans="5:5" x14ac:dyDescent="0.25">
      <c r="E881" s="10"/>
    </row>
    <row r="882" spans="5:5" x14ac:dyDescent="0.25">
      <c r="E882" s="10"/>
    </row>
    <row r="883" spans="5:5" x14ac:dyDescent="0.25">
      <c r="E883" s="10"/>
    </row>
    <row r="884" spans="5:5" x14ac:dyDescent="0.25">
      <c r="E884" s="10"/>
    </row>
    <row r="885" spans="5:5" x14ac:dyDescent="0.25">
      <c r="E885" s="10"/>
    </row>
    <row r="886" spans="5:5" x14ac:dyDescent="0.25">
      <c r="E886" s="10"/>
    </row>
    <row r="887" spans="5:5" x14ac:dyDescent="0.25">
      <c r="E887" s="10"/>
    </row>
    <row r="888" spans="5:5" x14ac:dyDescent="0.25">
      <c r="E888" s="10"/>
    </row>
    <row r="889" spans="5:5" x14ac:dyDescent="0.25">
      <c r="E889" s="10"/>
    </row>
    <row r="890" spans="5:5" x14ac:dyDescent="0.25">
      <c r="E890" s="10"/>
    </row>
    <row r="891" spans="5:5" x14ac:dyDescent="0.25">
      <c r="E891" s="10"/>
    </row>
    <row r="892" spans="5:5" x14ac:dyDescent="0.25">
      <c r="E892" s="10"/>
    </row>
    <row r="893" spans="5:5" x14ac:dyDescent="0.25">
      <c r="E893" s="10"/>
    </row>
    <row r="894" spans="5:5" x14ac:dyDescent="0.25">
      <c r="E894" s="10"/>
    </row>
    <row r="895" spans="5:5" x14ac:dyDescent="0.25">
      <c r="E895" s="10"/>
    </row>
    <row r="896" spans="5:5" x14ac:dyDescent="0.25">
      <c r="E896" s="10"/>
    </row>
    <row r="897" spans="5:5" x14ac:dyDescent="0.25">
      <c r="E897" s="10"/>
    </row>
    <row r="898" spans="5:5" x14ac:dyDescent="0.25">
      <c r="E898" s="10"/>
    </row>
    <row r="899" spans="5:5" x14ac:dyDescent="0.25">
      <c r="E899" s="10"/>
    </row>
    <row r="900" spans="5:5" x14ac:dyDescent="0.25">
      <c r="E900" s="10"/>
    </row>
    <row r="901" spans="5:5" x14ac:dyDescent="0.25">
      <c r="E901" s="10"/>
    </row>
    <row r="902" spans="5:5" x14ac:dyDescent="0.25">
      <c r="E902" s="10"/>
    </row>
    <row r="903" spans="5:5" x14ac:dyDescent="0.25">
      <c r="E903" s="10"/>
    </row>
    <row r="904" spans="5:5" x14ac:dyDescent="0.25">
      <c r="E904" s="10"/>
    </row>
    <row r="905" spans="5:5" x14ac:dyDescent="0.25">
      <c r="E905" s="10"/>
    </row>
    <row r="906" spans="5:5" x14ac:dyDescent="0.25">
      <c r="E906" s="10"/>
    </row>
    <row r="907" spans="5:5" x14ac:dyDescent="0.25">
      <c r="E907" s="10"/>
    </row>
    <row r="908" spans="5:5" x14ac:dyDescent="0.25">
      <c r="E908" s="10"/>
    </row>
    <row r="909" spans="5:5" x14ac:dyDescent="0.25">
      <c r="E909" s="10"/>
    </row>
    <row r="910" spans="5:5" x14ac:dyDescent="0.25">
      <c r="E910" s="10"/>
    </row>
    <row r="911" spans="5:5" x14ac:dyDescent="0.25">
      <c r="E911" s="10"/>
    </row>
    <row r="912" spans="5:5" x14ac:dyDescent="0.25">
      <c r="E912" s="10"/>
    </row>
    <row r="913" spans="5:5" x14ac:dyDescent="0.25">
      <c r="E913" s="10"/>
    </row>
    <row r="914" spans="5:5" x14ac:dyDescent="0.25">
      <c r="E914" s="10"/>
    </row>
    <row r="915" spans="5:5" x14ac:dyDescent="0.25">
      <c r="E915" s="10"/>
    </row>
    <row r="916" spans="5:5" x14ac:dyDescent="0.25">
      <c r="E916" s="10"/>
    </row>
    <row r="917" spans="5:5" x14ac:dyDescent="0.25">
      <c r="E917" s="10"/>
    </row>
    <row r="918" spans="5:5" x14ac:dyDescent="0.25">
      <c r="E918" s="10"/>
    </row>
    <row r="919" spans="5:5" x14ac:dyDescent="0.25">
      <c r="E919" s="10"/>
    </row>
    <row r="920" spans="5:5" x14ac:dyDescent="0.25">
      <c r="E920" s="10"/>
    </row>
    <row r="921" spans="5:5" x14ac:dyDescent="0.25">
      <c r="E921" s="10"/>
    </row>
    <row r="922" spans="5:5" x14ac:dyDescent="0.25">
      <c r="E922" s="10"/>
    </row>
    <row r="923" spans="5:5" x14ac:dyDescent="0.25">
      <c r="E923" s="10"/>
    </row>
    <row r="924" spans="5:5" x14ac:dyDescent="0.25">
      <c r="E924" s="10"/>
    </row>
    <row r="925" spans="5:5" x14ac:dyDescent="0.25">
      <c r="E925" s="10"/>
    </row>
    <row r="926" spans="5:5" x14ac:dyDescent="0.25">
      <c r="E926" s="10"/>
    </row>
    <row r="927" spans="5:5" x14ac:dyDescent="0.25">
      <c r="E927" s="10"/>
    </row>
    <row r="928" spans="5:5" x14ac:dyDescent="0.25">
      <c r="E928" s="10"/>
    </row>
    <row r="929" spans="5:5" x14ac:dyDescent="0.25">
      <c r="E929" s="10"/>
    </row>
    <row r="930" spans="5:5" x14ac:dyDescent="0.25">
      <c r="E930" s="10"/>
    </row>
    <row r="931" spans="5:5" x14ac:dyDescent="0.25">
      <c r="E931" s="10"/>
    </row>
    <row r="932" spans="5:5" x14ac:dyDescent="0.25">
      <c r="E932" s="10"/>
    </row>
    <row r="933" spans="5:5" x14ac:dyDescent="0.25">
      <c r="E933" s="10"/>
    </row>
    <row r="934" spans="5:5" x14ac:dyDescent="0.25">
      <c r="E934" s="10"/>
    </row>
    <row r="935" spans="5:5" x14ac:dyDescent="0.25">
      <c r="E935" s="10"/>
    </row>
    <row r="936" spans="5:5" x14ac:dyDescent="0.25">
      <c r="E936" s="10"/>
    </row>
    <row r="937" spans="5:5" x14ac:dyDescent="0.25">
      <c r="E937" s="10"/>
    </row>
    <row r="938" spans="5:5" x14ac:dyDescent="0.25">
      <c r="E938" s="10"/>
    </row>
    <row r="939" spans="5:5" x14ac:dyDescent="0.25">
      <c r="E939" s="10"/>
    </row>
    <row r="940" spans="5:5" x14ac:dyDescent="0.25">
      <c r="E940" s="10"/>
    </row>
    <row r="941" spans="5:5" x14ac:dyDescent="0.25">
      <c r="E941" s="10"/>
    </row>
    <row r="942" spans="5:5" x14ac:dyDescent="0.25">
      <c r="E942" s="10"/>
    </row>
    <row r="943" spans="5:5" x14ac:dyDescent="0.25">
      <c r="E943" s="10"/>
    </row>
    <row r="944" spans="5:5" x14ac:dyDescent="0.25">
      <c r="E944" s="10"/>
    </row>
    <row r="945" spans="5:5" x14ac:dyDescent="0.25">
      <c r="E945" s="10"/>
    </row>
    <row r="946" spans="5:5" x14ac:dyDescent="0.25">
      <c r="E946" s="10"/>
    </row>
    <row r="947" spans="5:5" x14ac:dyDescent="0.25">
      <c r="E947" s="10"/>
    </row>
    <row r="948" spans="5:5" x14ac:dyDescent="0.25">
      <c r="E948" s="10"/>
    </row>
    <row r="949" spans="5:5" x14ac:dyDescent="0.25">
      <c r="E949" s="10"/>
    </row>
    <row r="950" spans="5:5" x14ac:dyDescent="0.25">
      <c r="E950" s="10"/>
    </row>
    <row r="951" spans="5:5" x14ac:dyDescent="0.25">
      <c r="E951" s="10"/>
    </row>
    <row r="952" spans="5:5" x14ac:dyDescent="0.25">
      <c r="E952" s="10"/>
    </row>
    <row r="953" spans="5:5" x14ac:dyDescent="0.25">
      <c r="E953" s="10"/>
    </row>
    <row r="954" spans="5:5" x14ac:dyDescent="0.25">
      <c r="E954" s="10"/>
    </row>
    <row r="955" spans="5:5" x14ac:dyDescent="0.25">
      <c r="E955" s="10"/>
    </row>
    <row r="956" spans="5:5" x14ac:dyDescent="0.25">
      <c r="E956" s="10"/>
    </row>
    <row r="957" spans="5:5" x14ac:dyDescent="0.25">
      <c r="E957" s="10"/>
    </row>
    <row r="958" spans="5:5" x14ac:dyDescent="0.25">
      <c r="E958" s="10"/>
    </row>
    <row r="959" spans="5:5" x14ac:dyDescent="0.25">
      <c r="E959" s="10"/>
    </row>
    <row r="960" spans="5:5" x14ac:dyDescent="0.25">
      <c r="E960" s="10"/>
    </row>
    <row r="961" spans="5:5" x14ac:dyDescent="0.25">
      <c r="E961" s="10"/>
    </row>
    <row r="962" spans="5:5" x14ac:dyDescent="0.25">
      <c r="E962" s="10"/>
    </row>
    <row r="963" spans="5:5" x14ac:dyDescent="0.25">
      <c r="E963" s="10"/>
    </row>
    <row r="964" spans="5:5" x14ac:dyDescent="0.25">
      <c r="E964" s="10"/>
    </row>
    <row r="965" spans="5:5" x14ac:dyDescent="0.25">
      <c r="E965" s="10"/>
    </row>
  </sheetData>
  <mergeCells count="9">
    <mergeCell ref="H1:H2"/>
    <mergeCell ref="I1:J1"/>
    <mergeCell ref="A1:A2"/>
    <mergeCell ref="B1:B2"/>
    <mergeCell ref="C1:C2"/>
    <mergeCell ref="D1:D2"/>
    <mergeCell ref="E1:E2"/>
    <mergeCell ref="F1:F2"/>
    <mergeCell ref="G1:G2"/>
  </mergeCells>
  <conditionalFormatting sqref="G3:G6">
    <cfRule type="containsText" dxfId="74" priority="2" operator="containsText" text="High">
      <formula>NOT(ISERROR(SEARCH(("High"),(G3))))</formula>
    </cfRule>
  </conditionalFormatting>
  <conditionalFormatting sqref="G3:G6">
    <cfRule type="containsText" dxfId="73" priority="3" operator="containsText" text="Medium">
      <formula>NOT(ISERROR(SEARCH(("Medium"),(G3))))</formula>
    </cfRule>
  </conditionalFormatting>
  <conditionalFormatting sqref="G3:G6">
    <cfRule type="containsText" dxfId="72" priority="4" operator="containsText" text="Low">
      <formula>NOT(ISERROR(SEARCH(("Low"),(G3))))</formula>
    </cfRule>
  </conditionalFormatting>
  <conditionalFormatting sqref="I3:J39">
    <cfRule type="containsText" dxfId="71" priority="1" operator="containsText" text="Un-test">
      <formula>NOT(ISERROR(SEARCH("Un-test",I3)))</formula>
    </cfRule>
    <cfRule type="containsText" dxfId="70" priority="5" operator="containsText" text="Passed">
      <formula>NOT(ISERROR(SEARCH(("Passed"),(I3))))</formula>
    </cfRule>
    <cfRule type="containsText" dxfId="69" priority="6" operator="containsText" text="Failed">
      <formula>NOT(ISERROR(SEARCH(("Failed"),(I3))))</formula>
    </cfRule>
  </conditionalFormatting>
  <conditionalFormatting sqref="I7:J39">
    <cfRule type="containsText" dxfId="68" priority="8" operator="containsText" text="Failed">
      <formula>NOT(ISERROR(SEARCH(("Failed"),(I7))))</formula>
    </cfRule>
  </conditionalFormatting>
  <conditionalFormatting sqref="I7:J11">
    <cfRule type="containsText" dxfId="67" priority="9" operator="containsText" text="Un-test">
      <formula>NOT(ISERROR(SEARCH(("Un-test"),(I7))))</formula>
    </cfRule>
  </conditionalFormatting>
  <dataValidations count="2">
    <dataValidation type="list" allowBlank="1" sqref="I76:J76 I3:J9">
      <formula1>"Passed,Failed,Un-test"</formula1>
    </dataValidation>
    <dataValidation type="list" allowBlank="1" sqref="G3:G11">
      <formula1>"High,Medium,Low"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6"/>
  <sheetViews>
    <sheetView zoomScale="85" zoomScaleNormal="137" workbookViewId="0">
      <selection activeCell="E10" sqref="E10"/>
    </sheetView>
  </sheetViews>
  <sheetFormatPr defaultColWidth="12.54296875" defaultRowHeight="12.5" x14ac:dyDescent="0.25"/>
  <cols>
    <col min="1" max="1" width="19.54296875" customWidth="1"/>
    <col min="2" max="2" width="33.453125" bestFit="1" customWidth="1"/>
    <col min="3" max="3" width="26.26953125" customWidth="1"/>
    <col min="4" max="4" width="20.81640625" bestFit="1" customWidth="1"/>
    <col min="5" max="5" width="30" customWidth="1"/>
    <col min="6" max="6" width="16.453125" customWidth="1"/>
    <col min="7" max="7" width="7.1796875" customWidth="1"/>
    <col min="8" max="8" width="35.1796875" bestFit="1" customWidth="1"/>
    <col min="9" max="9" width="7.1796875" customWidth="1"/>
    <col min="10" max="10" width="12.81640625" bestFit="1" customWidth="1"/>
    <col min="11" max="11" width="4.81640625" customWidth="1"/>
    <col min="12" max="12" width="11.54296875" customWidth="1"/>
    <col min="13" max="13" width="6.81640625" customWidth="1"/>
    <col min="14" max="14" width="8.54296875" customWidth="1"/>
  </cols>
  <sheetData>
    <row r="1" spans="1:26" x14ac:dyDescent="0.25">
      <c r="A1" s="99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104" t="s">
        <v>8</v>
      </c>
      <c r="J1" s="93"/>
      <c r="K1" s="11" t="s">
        <v>9</v>
      </c>
      <c r="L1" s="11" t="s">
        <v>10</v>
      </c>
      <c r="M1" s="11" t="s">
        <v>11</v>
      </c>
      <c r="N1" s="11" t="s">
        <v>12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100"/>
      <c r="B2" s="91"/>
      <c r="C2" s="91"/>
      <c r="D2" s="91"/>
      <c r="E2" s="91"/>
      <c r="F2" s="91"/>
      <c r="G2" s="91"/>
      <c r="H2" s="91"/>
      <c r="I2" s="35" t="s">
        <v>13</v>
      </c>
      <c r="J2" s="35" t="s">
        <v>105</v>
      </c>
      <c r="K2" s="36"/>
      <c r="L2" s="36"/>
      <c r="M2" s="36"/>
      <c r="N2" s="3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" x14ac:dyDescent="0.25">
      <c r="A3" s="41" t="s">
        <v>124</v>
      </c>
      <c r="B3" s="82" t="s">
        <v>125</v>
      </c>
      <c r="C3" s="101" t="s">
        <v>126</v>
      </c>
      <c r="D3" s="74" t="s">
        <v>127</v>
      </c>
      <c r="E3" s="18"/>
      <c r="F3" s="42" t="s">
        <v>128</v>
      </c>
      <c r="G3" s="37" t="s">
        <v>20</v>
      </c>
      <c r="H3" s="18" t="s">
        <v>129</v>
      </c>
      <c r="I3" s="39" t="s">
        <v>22</v>
      </c>
      <c r="J3" s="37" t="s">
        <v>22</v>
      </c>
      <c r="K3" s="37"/>
      <c r="L3" s="37"/>
      <c r="M3" s="37"/>
      <c r="N3" s="3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s="40" customFormat="1" ht="39" customHeight="1" x14ac:dyDescent="0.25">
      <c r="A4" s="41" t="s">
        <v>130</v>
      </c>
      <c r="B4" s="80"/>
      <c r="C4" s="102"/>
      <c r="D4" s="75"/>
      <c r="E4" s="22" t="s">
        <v>24</v>
      </c>
      <c r="F4" s="42" t="s">
        <v>131</v>
      </c>
      <c r="G4" s="17" t="s">
        <v>26</v>
      </c>
      <c r="H4" s="18" t="s">
        <v>132</v>
      </c>
      <c r="I4" s="19" t="s">
        <v>22</v>
      </c>
      <c r="J4" s="19" t="s">
        <v>22</v>
      </c>
      <c r="K4" s="37"/>
      <c r="L4" s="37"/>
      <c r="M4" s="37"/>
      <c r="N4" s="3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s="38" customFormat="1" ht="37.5" x14ac:dyDescent="0.25">
      <c r="A5" s="41" t="s">
        <v>133</v>
      </c>
      <c r="B5" s="81"/>
      <c r="C5" s="103"/>
      <c r="D5" s="81"/>
      <c r="E5" s="62" t="s">
        <v>29</v>
      </c>
      <c r="F5" s="42" t="s">
        <v>134</v>
      </c>
      <c r="G5" s="19" t="s">
        <v>26</v>
      </c>
      <c r="H5" s="18" t="s">
        <v>129</v>
      </c>
      <c r="I5" s="19" t="s">
        <v>22</v>
      </c>
      <c r="J5" s="19" t="s">
        <v>22</v>
      </c>
      <c r="K5" s="37"/>
      <c r="L5" s="37"/>
      <c r="M5" s="37"/>
      <c r="N5" s="3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25" x14ac:dyDescent="0.25">
      <c r="A6" s="41" t="s">
        <v>135</v>
      </c>
      <c r="B6" s="74" t="s">
        <v>136</v>
      </c>
      <c r="C6" s="82" t="s">
        <v>17</v>
      </c>
      <c r="D6" s="74" t="s">
        <v>137</v>
      </c>
      <c r="E6" s="22" t="s">
        <v>138</v>
      </c>
      <c r="F6" s="43" t="s">
        <v>41</v>
      </c>
      <c r="G6" s="37" t="s">
        <v>20</v>
      </c>
      <c r="H6" s="22" t="s">
        <v>139</v>
      </c>
      <c r="I6" s="37" t="s">
        <v>22</v>
      </c>
      <c r="J6" s="37" t="s">
        <v>22</v>
      </c>
      <c r="K6" s="37"/>
      <c r="L6" s="37"/>
      <c r="M6" s="37"/>
      <c r="N6" s="3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x14ac:dyDescent="0.25">
      <c r="A7" s="41" t="s">
        <v>140</v>
      </c>
      <c r="B7" s="75"/>
      <c r="C7" s="80"/>
      <c r="D7" s="75"/>
      <c r="E7" s="22" t="s">
        <v>141</v>
      </c>
      <c r="F7" s="22" t="s">
        <v>37</v>
      </c>
      <c r="G7" s="37" t="s">
        <v>31</v>
      </c>
      <c r="H7" s="22" t="s">
        <v>142</v>
      </c>
      <c r="I7" s="37" t="s">
        <v>22</v>
      </c>
      <c r="J7" s="37" t="s">
        <v>22</v>
      </c>
      <c r="K7" s="37"/>
      <c r="L7" s="37"/>
      <c r="M7" s="37"/>
      <c r="N7" s="3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5" x14ac:dyDescent="0.25">
      <c r="A8" s="41" t="s">
        <v>143</v>
      </c>
      <c r="B8" s="75"/>
      <c r="C8" s="80"/>
      <c r="D8" s="75"/>
      <c r="E8" s="22" t="s">
        <v>44</v>
      </c>
      <c r="F8" s="22" t="s">
        <v>144</v>
      </c>
      <c r="G8" s="37" t="s">
        <v>31</v>
      </c>
      <c r="H8" s="22" t="s">
        <v>46</v>
      </c>
      <c r="I8" s="37" t="s">
        <v>22</v>
      </c>
      <c r="J8" s="37" t="s">
        <v>22</v>
      </c>
      <c r="K8" s="37"/>
      <c r="L8" s="37"/>
      <c r="M8" s="37"/>
      <c r="N8" s="3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25" x14ac:dyDescent="0.25">
      <c r="A9" s="41" t="s">
        <v>145</v>
      </c>
      <c r="B9" s="76"/>
      <c r="C9" s="81"/>
      <c r="D9" s="76"/>
      <c r="E9" s="22" t="s">
        <v>48</v>
      </c>
      <c r="F9" s="18" t="s">
        <v>146</v>
      </c>
      <c r="G9" s="37" t="s">
        <v>26</v>
      </c>
      <c r="H9" s="22" t="s">
        <v>46</v>
      </c>
      <c r="I9" s="37" t="s">
        <v>50</v>
      </c>
      <c r="J9" s="37" t="s">
        <v>50</v>
      </c>
      <c r="K9" s="37"/>
      <c r="L9" s="37"/>
      <c r="M9" s="37"/>
      <c r="N9" s="3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25" x14ac:dyDescent="0.25">
      <c r="A10" s="41" t="s">
        <v>147</v>
      </c>
      <c r="B10" s="18" t="s">
        <v>148</v>
      </c>
      <c r="C10" s="22" t="s">
        <v>17</v>
      </c>
      <c r="D10" s="22" t="s">
        <v>149</v>
      </c>
      <c r="E10" s="22" t="s">
        <v>150</v>
      </c>
      <c r="F10" s="18"/>
      <c r="G10" s="37" t="s">
        <v>26</v>
      </c>
      <c r="H10" s="18" t="s">
        <v>151</v>
      </c>
      <c r="I10" s="37" t="s">
        <v>22</v>
      </c>
      <c r="J10" s="39" t="s">
        <v>22</v>
      </c>
      <c r="K10" s="37"/>
      <c r="L10" s="37"/>
      <c r="M10" s="37"/>
      <c r="N10" s="3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6"/>
      <c r="L11" s="66"/>
      <c r="M11" s="66"/>
      <c r="N11" s="66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6"/>
      <c r="L12" s="66"/>
      <c r="M12" s="66"/>
      <c r="N12" s="66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6"/>
      <c r="L13" s="66"/>
      <c r="M13" s="66"/>
      <c r="N13" s="66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6"/>
      <c r="L14" s="66"/>
      <c r="M14" s="66"/>
      <c r="N14" s="66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6"/>
      <c r="L15" s="66"/>
      <c r="M15" s="66"/>
      <c r="N15" s="66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6"/>
      <c r="L16" s="66"/>
      <c r="M16" s="66"/>
      <c r="N16" s="66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14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6"/>
      <c r="L17" s="66"/>
      <c r="M17" s="66"/>
      <c r="N17" s="66"/>
    </row>
    <row r="18" spans="1:14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6"/>
      <c r="L18" s="66"/>
      <c r="M18" s="66"/>
      <c r="N18" s="66"/>
    </row>
    <row r="19" spans="1:14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6"/>
      <c r="L19" s="66"/>
      <c r="M19" s="66"/>
      <c r="N19" s="66"/>
    </row>
    <row r="20" spans="1:14" x14ac:dyDescent="0.25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6"/>
      <c r="L20" s="66"/>
      <c r="M20" s="66"/>
      <c r="N20" s="66"/>
    </row>
    <row r="21" spans="1:14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6"/>
      <c r="L21" s="66"/>
      <c r="M21" s="66"/>
      <c r="N21" s="66"/>
    </row>
    <row r="22" spans="1:14" x14ac:dyDescent="0.25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6"/>
      <c r="L22" s="66"/>
      <c r="M22" s="66"/>
      <c r="N22" s="66"/>
    </row>
    <row r="23" spans="1:14" x14ac:dyDescent="0.25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6"/>
      <c r="L23" s="66"/>
      <c r="M23" s="66"/>
      <c r="N23" s="66"/>
    </row>
    <row r="24" spans="1:14" x14ac:dyDescent="0.2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6"/>
      <c r="L24" s="66"/>
      <c r="M24" s="66"/>
      <c r="N24" s="66"/>
    </row>
    <row r="25" spans="1:14" x14ac:dyDescent="0.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6"/>
      <c r="L25" s="66"/>
      <c r="M25" s="66"/>
      <c r="N25" s="66"/>
    </row>
    <row r="26" spans="1:14" x14ac:dyDescent="0.25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6"/>
      <c r="L26" s="66"/>
      <c r="M26" s="66"/>
      <c r="N26" s="66"/>
    </row>
    <row r="27" spans="1:14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</row>
    <row r="28" spans="1:14" x14ac:dyDescent="0.25">
      <c r="A28" s="66"/>
      <c r="B28" s="97"/>
      <c r="C28" s="66"/>
      <c r="D28" s="66"/>
      <c r="E28" s="66"/>
      <c r="F28" s="66"/>
      <c r="G28" s="66"/>
      <c r="H28" s="8"/>
      <c r="I28" s="66"/>
      <c r="J28" s="66"/>
      <c r="K28" s="66"/>
      <c r="L28" s="66"/>
      <c r="M28" s="66"/>
      <c r="N28" s="66"/>
    </row>
    <row r="29" spans="1:14" x14ac:dyDescent="0.25">
      <c r="A29" s="66"/>
      <c r="B29" s="98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</row>
    <row r="30" spans="1:14" x14ac:dyDescent="0.25">
      <c r="A30" s="66"/>
      <c r="B30" s="98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</row>
    <row r="31" spans="1:14" x14ac:dyDescent="0.25">
      <c r="A31" s="66"/>
      <c r="B31" s="98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</row>
    <row r="32" spans="1:14" x14ac:dyDescent="0.25">
      <c r="A32" s="66"/>
      <c r="B32" s="98"/>
      <c r="C32" s="66"/>
      <c r="D32" s="66"/>
      <c r="E32" s="12"/>
      <c r="F32" s="66"/>
      <c r="G32" s="66"/>
      <c r="H32" s="66"/>
      <c r="I32" s="66"/>
      <c r="J32" s="66"/>
      <c r="K32" s="66"/>
      <c r="L32" s="66"/>
      <c r="M32" s="66"/>
      <c r="N32" s="66"/>
    </row>
    <row r="33" spans="1:14" x14ac:dyDescent="0.25">
      <c r="A33" s="66"/>
      <c r="B33" s="98"/>
      <c r="C33" s="66"/>
      <c r="D33" s="66"/>
      <c r="E33" s="12"/>
      <c r="F33" s="67"/>
      <c r="G33" s="66"/>
      <c r="H33" s="66"/>
      <c r="I33" s="66"/>
      <c r="J33" s="66"/>
      <c r="K33" s="66"/>
      <c r="L33" s="66"/>
      <c r="M33" s="66"/>
      <c r="N33" s="66"/>
    </row>
    <row r="34" spans="1:14" x14ac:dyDescent="0.25">
      <c r="A34" s="66"/>
      <c r="B34" s="98"/>
      <c r="C34" s="66"/>
      <c r="D34" s="66"/>
      <c r="E34" s="13"/>
      <c r="F34" s="66"/>
      <c r="G34" s="66"/>
      <c r="H34" s="66"/>
      <c r="I34" s="66"/>
      <c r="J34" s="66"/>
      <c r="K34" s="66"/>
      <c r="L34" s="66"/>
      <c r="M34" s="66"/>
      <c r="N34" s="66"/>
    </row>
    <row r="35" spans="1:14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</row>
    <row r="36" spans="1:14" x14ac:dyDescent="0.25">
      <c r="A36" s="66"/>
      <c r="B36" s="97"/>
      <c r="C36" s="66"/>
      <c r="D36" s="66"/>
      <c r="E36" s="66"/>
      <c r="F36" s="66"/>
      <c r="G36" s="66"/>
      <c r="H36" s="8"/>
      <c r="I36" s="13"/>
      <c r="J36" s="66"/>
      <c r="K36" s="66"/>
      <c r="L36" s="66"/>
      <c r="M36" s="66"/>
      <c r="N36" s="66"/>
    </row>
    <row r="37" spans="1:14" x14ac:dyDescent="0.25">
      <c r="A37" s="66"/>
      <c r="B37" s="98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</row>
    <row r="38" spans="1:14" x14ac:dyDescent="0.25">
      <c r="A38" s="66"/>
      <c r="B38" s="98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14" x14ac:dyDescent="0.25">
      <c r="A39" s="66"/>
      <c r="B39" s="98"/>
      <c r="C39" s="66"/>
      <c r="D39" s="66"/>
      <c r="E39" s="66"/>
      <c r="F39" s="66"/>
      <c r="G39" s="66"/>
      <c r="H39" s="66"/>
      <c r="I39" s="14"/>
      <c r="J39" s="14"/>
      <c r="K39" s="66"/>
      <c r="L39" s="66"/>
      <c r="M39" s="66"/>
      <c r="N39" s="66"/>
    </row>
    <row r="40" spans="1:14" x14ac:dyDescent="0.25">
      <c r="A40" s="66"/>
      <c r="B40" s="98"/>
      <c r="C40" s="66"/>
      <c r="D40" s="66"/>
      <c r="E40" s="12"/>
      <c r="F40" s="66"/>
      <c r="G40" s="66"/>
      <c r="H40" s="66"/>
      <c r="I40" s="66"/>
      <c r="J40" s="66"/>
      <c r="K40" s="66"/>
      <c r="L40" s="66"/>
      <c r="M40" s="66"/>
      <c r="N40" s="66"/>
    </row>
    <row r="41" spans="1:14" x14ac:dyDescent="0.25">
      <c r="A41" s="66"/>
      <c r="B41" s="98"/>
      <c r="C41" s="66"/>
      <c r="D41" s="66"/>
      <c r="E41" s="12"/>
      <c r="F41" s="67"/>
      <c r="G41" s="67"/>
      <c r="H41" s="66"/>
      <c r="I41" s="67"/>
      <c r="J41" s="67"/>
      <c r="K41" s="67"/>
      <c r="L41" s="67"/>
      <c r="M41" s="67"/>
      <c r="N41" s="67"/>
    </row>
    <row r="42" spans="1:14" x14ac:dyDescent="0.25">
      <c r="A42" s="66"/>
      <c r="B42" s="98"/>
      <c r="C42" s="66"/>
      <c r="D42" s="66"/>
      <c r="E42" s="13"/>
      <c r="F42" s="66"/>
      <c r="G42" s="67"/>
      <c r="H42" s="66"/>
      <c r="I42" s="4"/>
      <c r="J42" s="4"/>
      <c r="K42" s="67"/>
      <c r="L42" s="67"/>
      <c r="M42" s="67"/>
      <c r="N42" s="67"/>
    </row>
    <row r="44" spans="1:14" x14ac:dyDescent="0.25">
      <c r="A44" s="67"/>
      <c r="B44" s="4"/>
      <c r="C44" s="4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</row>
    <row r="45" spans="1:14" x14ac:dyDescent="0.25">
      <c r="A45" s="67"/>
      <c r="B45" s="4"/>
      <c r="C45" s="4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</row>
    <row r="46" spans="1:14" x14ac:dyDescent="0.25">
      <c r="A46" s="67"/>
      <c r="B46" s="4"/>
      <c r="C46" s="4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</row>
  </sheetData>
  <mergeCells count="17">
    <mergeCell ref="H1:H2"/>
    <mergeCell ref="I1:J1"/>
    <mergeCell ref="F1:F2"/>
    <mergeCell ref="G1:G2"/>
    <mergeCell ref="B28:B34"/>
    <mergeCell ref="E1:E2"/>
    <mergeCell ref="B36:B42"/>
    <mergeCell ref="A1:A2"/>
    <mergeCell ref="B1:B2"/>
    <mergeCell ref="C1:C2"/>
    <mergeCell ref="D1:D2"/>
    <mergeCell ref="B3:B5"/>
    <mergeCell ref="C3:C5"/>
    <mergeCell ref="D3:D5"/>
    <mergeCell ref="B6:B9"/>
    <mergeCell ref="C6:C9"/>
    <mergeCell ref="D6:D9"/>
  </mergeCells>
  <conditionalFormatting sqref="G3 G6:G29">
    <cfRule type="containsText" dxfId="66" priority="15" operator="containsText" text="High">
      <formula>NOT(ISERROR(SEARCH(("High"),(G3))))</formula>
    </cfRule>
  </conditionalFormatting>
  <conditionalFormatting sqref="G3 G6:G29">
    <cfRule type="containsText" dxfId="65" priority="16" operator="containsText" text="Medium">
      <formula>NOT(ISERROR(SEARCH(("Medium"),(G3))))</formula>
    </cfRule>
  </conditionalFormatting>
  <conditionalFormatting sqref="G3 G6:G29">
    <cfRule type="containsText" dxfId="64" priority="17" operator="containsText" text="Low">
      <formula>NOT(ISERROR(SEARCH(("Low"),(G3))))</formula>
    </cfRule>
  </conditionalFormatting>
  <conditionalFormatting sqref="I3:J3 I6:J30">
    <cfRule type="containsText" dxfId="63" priority="13" operator="containsText" text="Un-test">
      <formula>NOT(ISERROR(SEARCH("Un-test",I3)))</formula>
    </cfRule>
    <cfRule type="containsText" dxfId="62" priority="18" operator="containsText" text="Passed">
      <formula>NOT(ISERROR(SEARCH(("Passed"),(I3))))</formula>
    </cfRule>
  </conditionalFormatting>
  <conditionalFormatting sqref="I3:J3 I6:J30">
    <cfRule type="containsText" dxfId="61" priority="19" operator="containsText" text="Failed">
      <formula>NOT(ISERROR(SEARCH(("Failed"),(I3))))</formula>
    </cfRule>
  </conditionalFormatting>
  <conditionalFormatting sqref="I31:J75">
    <cfRule type="containsText" dxfId="60" priority="20" operator="containsText" text="Passed">
      <formula>NOT(ISERROR(SEARCH(("Passed"),(I31))))</formula>
    </cfRule>
  </conditionalFormatting>
  <conditionalFormatting sqref="I31:J75">
    <cfRule type="containsText" dxfId="59" priority="21" operator="containsText" text="Failed">
      <formula>NOT(ISERROR(SEARCH(("Failed"),(I31))))</formula>
    </cfRule>
  </conditionalFormatting>
  <conditionalFormatting sqref="I39:J47">
    <cfRule type="containsText" dxfId="58" priority="22" operator="containsText" text="Un-test">
      <formula>NOT(ISERROR(SEARCH(("Un-test"),(I39))))</formula>
    </cfRule>
  </conditionalFormatting>
  <conditionalFormatting sqref="I3">
    <cfRule type="expression" dxfId="57" priority="14">
      <formula>"Un-test"</formula>
    </cfRule>
  </conditionalFormatting>
  <conditionalFormatting sqref="G5">
    <cfRule type="containsText" dxfId="56" priority="7" operator="containsText" text="High">
      <formula>NOT(ISERROR(SEARCH(("High"),(G5))))</formula>
    </cfRule>
  </conditionalFormatting>
  <conditionalFormatting sqref="G5">
    <cfRule type="containsText" dxfId="55" priority="8" operator="containsText" text="Medium">
      <formula>NOT(ISERROR(SEARCH(("Medium"),(G5))))</formula>
    </cfRule>
  </conditionalFormatting>
  <conditionalFormatting sqref="G5">
    <cfRule type="containsText" dxfId="54" priority="9" operator="containsText" text="Low">
      <formula>NOT(ISERROR(SEARCH(("Low"),(G5))))</formula>
    </cfRule>
  </conditionalFormatting>
  <conditionalFormatting sqref="I5:J5">
    <cfRule type="containsText" dxfId="53" priority="10" operator="containsText" text="Passed">
      <formula>NOT(ISERROR(SEARCH(("Passed"),(I5))))</formula>
    </cfRule>
  </conditionalFormatting>
  <conditionalFormatting sqref="I5:J5">
    <cfRule type="containsText" dxfId="52" priority="11" operator="containsText" text="Failed">
      <formula>NOT(ISERROR(SEARCH(("Failed"),(I5))))</formula>
    </cfRule>
  </conditionalFormatting>
  <conditionalFormatting sqref="I5:J5">
    <cfRule type="containsText" dxfId="51" priority="12" operator="containsText" text="Un-test">
      <formula>NOT(ISERROR(SEARCH(("Un-test"),(I5))))</formula>
    </cfRule>
  </conditionalFormatting>
  <conditionalFormatting sqref="G4">
    <cfRule type="containsText" dxfId="50" priority="1" operator="containsText" text="High">
      <formula>NOT(ISERROR(SEARCH(("High"),(G4))))</formula>
    </cfRule>
  </conditionalFormatting>
  <conditionalFormatting sqref="G4">
    <cfRule type="containsText" dxfId="49" priority="2" operator="containsText" text="Medium">
      <formula>NOT(ISERROR(SEARCH(("Medium"),(G4))))</formula>
    </cfRule>
  </conditionalFormatting>
  <conditionalFormatting sqref="G4">
    <cfRule type="containsText" dxfId="48" priority="3" operator="containsText" text="Low">
      <formula>NOT(ISERROR(SEARCH(("Low"),(G4))))</formula>
    </cfRule>
  </conditionalFormatting>
  <conditionalFormatting sqref="I4:J4">
    <cfRule type="containsText" dxfId="47" priority="4" operator="containsText" text="Passed">
      <formula>NOT(ISERROR(SEARCH(("Passed"),(I4))))</formula>
    </cfRule>
  </conditionalFormatting>
  <conditionalFormatting sqref="I4:J4">
    <cfRule type="containsText" dxfId="46" priority="5" operator="containsText" text="Failed">
      <formula>NOT(ISERROR(SEARCH(("Failed"),(I4))))</formula>
    </cfRule>
  </conditionalFormatting>
  <conditionalFormatting sqref="I4:J4">
    <cfRule type="containsText" dxfId="45" priority="6" operator="containsText" text="Un-test">
      <formula>NOT(ISERROR(SEARCH(("Un-test"),(I4))))</formula>
    </cfRule>
  </conditionalFormatting>
  <dataValidations count="2">
    <dataValidation type="list" allowBlank="1" sqref="G3:G10">
      <formula1>"High,Medium,Low"</formula1>
    </dataValidation>
    <dataValidation type="list" allowBlank="1" sqref="I3:J10">
      <formula1>"Passed,Failed,Un-test"</formula1>
    </dataValidation>
  </dataValidations>
  <hyperlinks>
    <hyperlink ref="F6" r:id="rId1" display="mailto:abc@gmail.com"/>
    <hyperlink ref="F5" r:id="rId2" display="mailto:test@gmail.com"/>
    <hyperlink ref="F3" r:id="rId3" display="mailto:test@gmail.com"/>
  </hyperlinks>
  <pageMargins left="0" right="0" top="0" bottom="0" header="0" footer="0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19"/>
  <sheetViews>
    <sheetView zoomScale="68" workbookViewId="0">
      <selection activeCell="H10" sqref="H10"/>
    </sheetView>
  </sheetViews>
  <sheetFormatPr defaultColWidth="12.54296875" defaultRowHeight="15.75" customHeight="1" x14ac:dyDescent="0.25"/>
  <cols>
    <col min="1" max="1" width="14.1796875" customWidth="1"/>
    <col min="2" max="2" width="25.1796875" customWidth="1"/>
    <col min="3" max="3" width="27.54296875" customWidth="1"/>
    <col min="4" max="4" width="31" customWidth="1"/>
    <col min="5" max="5" width="33.81640625" customWidth="1"/>
    <col min="6" max="6" width="20.54296875" customWidth="1"/>
    <col min="7" max="7" width="7.453125" customWidth="1"/>
    <col min="8" max="8" width="21.54296875" customWidth="1"/>
    <col min="9" max="9" width="7.453125" customWidth="1"/>
    <col min="10" max="10" width="12.81640625" bestFit="1" customWidth="1"/>
    <col min="11" max="11" width="4.7265625" customWidth="1"/>
    <col min="12" max="12" width="12.26953125" customWidth="1"/>
    <col min="13" max="13" width="6.81640625" customWidth="1"/>
    <col min="14" max="14" width="22.7265625" customWidth="1"/>
  </cols>
  <sheetData>
    <row r="1" spans="1:26" ht="12.5" x14ac:dyDescent="0.25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  <c r="G1" s="90" t="s">
        <v>6</v>
      </c>
      <c r="H1" s="90" t="s">
        <v>7</v>
      </c>
      <c r="I1" s="92" t="s">
        <v>8</v>
      </c>
      <c r="J1" s="93"/>
      <c r="K1" s="6" t="s">
        <v>9</v>
      </c>
      <c r="L1" s="6" t="s">
        <v>10</v>
      </c>
      <c r="M1" s="6" t="s">
        <v>11</v>
      </c>
      <c r="N1" s="6" t="s">
        <v>12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.5" x14ac:dyDescent="0.25">
      <c r="A2" s="95"/>
      <c r="B2" s="106"/>
      <c r="C2" s="106"/>
      <c r="D2" s="106"/>
      <c r="E2" s="106"/>
      <c r="F2" s="106"/>
      <c r="G2" s="91"/>
      <c r="H2" s="91"/>
      <c r="I2" s="31" t="s">
        <v>13</v>
      </c>
      <c r="J2" s="31" t="s">
        <v>105</v>
      </c>
      <c r="K2" s="32"/>
      <c r="L2" s="32"/>
      <c r="M2" s="32"/>
      <c r="N2" s="32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59.25" customHeight="1" x14ac:dyDescent="0.25">
      <c r="A3" s="28" t="s">
        <v>152</v>
      </c>
      <c r="B3" s="22" t="s">
        <v>153</v>
      </c>
      <c r="C3" s="18" t="s">
        <v>154</v>
      </c>
      <c r="D3" s="18" t="s">
        <v>155</v>
      </c>
      <c r="E3" s="18" t="s">
        <v>156</v>
      </c>
      <c r="F3" s="59" t="s">
        <v>157</v>
      </c>
      <c r="G3" s="28" t="s">
        <v>20</v>
      </c>
      <c r="H3" s="18" t="s">
        <v>158</v>
      </c>
      <c r="I3" s="28" t="s">
        <v>22</v>
      </c>
      <c r="J3" s="28" t="s">
        <v>22</v>
      </c>
      <c r="K3" s="28"/>
      <c r="L3" s="28"/>
      <c r="M3" s="28"/>
      <c r="N3" s="28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25" x14ac:dyDescent="0.25">
      <c r="A4" s="28" t="s">
        <v>159</v>
      </c>
      <c r="B4" s="83" t="s">
        <v>160</v>
      </c>
      <c r="C4" s="83" t="s">
        <v>154</v>
      </c>
      <c r="D4" s="83" t="s">
        <v>161</v>
      </c>
      <c r="E4" s="18" t="s">
        <v>162</v>
      </c>
      <c r="F4" s="59" t="s">
        <v>163</v>
      </c>
      <c r="G4" s="28" t="s">
        <v>26</v>
      </c>
      <c r="H4" s="18" t="s">
        <v>164</v>
      </c>
      <c r="I4" s="28" t="s">
        <v>22</v>
      </c>
      <c r="J4" s="28" t="s">
        <v>22</v>
      </c>
      <c r="K4" s="28"/>
      <c r="L4" s="28"/>
      <c r="M4" s="28"/>
      <c r="N4" s="28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25" x14ac:dyDescent="0.25">
      <c r="A5" s="28" t="s">
        <v>165</v>
      </c>
      <c r="B5" s="83"/>
      <c r="C5" s="83"/>
      <c r="D5" s="83"/>
      <c r="E5" s="18" t="s">
        <v>166</v>
      </c>
      <c r="F5" s="52" t="s">
        <v>167</v>
      </c>
      <c r="G5" s="28" t="s">
        <v>31</v>
      </c>
      <c r="H5" s="18" t="s">
        <v>168</v>
      </c>
      <c r="I5" s="28" t="s">
        <v>22</v>
      </c>
      <c r="J5" s="28" t="s">
        <v>22</v>
      </c>
      <c r="K5" s="28"/>
      <c r="L5" s="28"/>
      <c r="M5" s="28"/>
      <c r="N5" s="28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25" x14ac:dyDescent="0.25">
      <c r="A6" s="28" t="s">
        <v>169</v>
      </c>
      <c r="B6" s="83"/>
      <c r="C6" s="83"/>
      <c r="D6" s="83"/>
      <c r="E6" s="18" t="s">
        <v>170</v>
      </c>
      <c r="F6" s="52" t="s">
        <v>37</v>
      </c>
      <c r="G6" s="28" t="s">
        <v>31</v>
      </c>
      <c r="H6" s="18" t="s">
        <v>171</v>
      </c>
      <c r="I6" s="28" t="s">
        <v>22</v>
      </c>
      <c r="J6" s="28" t="s">
        <v>22</v>
      </c>
      <c r="K6" s="28"/>
      <c r="L6" s="28"/>
      <c r="M6" s="28"/>
      <c r="N6" s="28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37.5" x14ac:dyDescent="0.25">
      <c r="A7" s="28" t="s">
        <v>172</v>
      </c>
      <c r="B7" s="83"/>
      <c r="C7" s="83"/>
      <c r="D7" s="83"/>
      <c r="E7" s="62" t="s">
        <v>52</v>
      </c>
      <c r="F7" s="42" t="s">
        <v>53</v>
      </c>
      <c r="G7" s="19" t="s">
        <v>31</v>
      </c>
      <c r="H7" s="18" t="s">
        <v>173</v>
      </c>
      <c r="I7" s="19" t="s">
        <v>22</v>
      </c>
      <c r="J7" s="19" t="s">
        <v>22</v>
      </c>
      <c r="K7" s="28"/>
      <c r="L7" s="28"/>
      <c r="M7" s="28"/>
      <c r="N7" s="28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s="45" customFormat="1" ht="37.5" x14ac:dyDescent="0.25">
      <c r="A8" s="28" t="s">
        <v>174</v>
      </c>
      <c r="B8" s="83"/>
      <c r="C8" s="83"/>
      <c r="D8" s="83"/>
      <c r="E8" s="62" t="s">
        <v>175</v>
      </c>
      <c r="F8" s="42" t="s">
        <v>176</v>
      </c>
      <c r="G8" s="19" t="s">
        <v>31</v>
      </c>
      <c r="H8" s="18" t="s">
        <v>177</v>
      </c>
      <c r="I8" s="19" t="s">
        <v>22</v>
      </c>
      <c r="J8" s="19" t="s">
        <v>22</v>
      </c>
      <c r="K8" s="28"/>
      <c r="L8" s="28"/>
      <c r="M8" s="28"/>
      <c r="N8" s="28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s="45" customFormat="1" ht="25" x14ac:dyDescent="0.25">
      <c r="A9" s="28" t="s">
        <v>178</v>
      </c>
      <c r="B9" s="83"/>
      <c r="C9" s="83"/>
      <c r="D9" s="83"/>
      <c r="E9" s="62" t="s">
        <v>179</v>
      </c>
      <c r="F9" s="42" t="s">
        <v>180</v>
      </c>
      <c r="G9" s="19" t="s">
        <v>31</v>
      </c>
      <c r="H9" s="18" t="s">
        <v>164</v>
      </c>
      <c r="I9" s="19" t="s">
        <v>22</v>
      </c>
      <c r="J9" s="19" t="s">
        <v>22</v>
      </c>
      <c r="K9" s="28"/>
      <c r="L9" s="28"/>
      <c r="M9" s="28"/>
      <c r="N9" s="28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s="45" customFormat="1" ht="50" x14ac:dyDescent="0.25">
      <c r="A10" s="28" t="s">
        <v>181</v>
      </c>
      <c r="B10" s="83"/>
      <c r="C10" s="83"/>
      <c r="D10" s="83"/>
      <c r="E10" s="62" t="s">
        <v>182</v>
      </c>
      <c r="F10" s="42" t="s">
        <v>183</v>
      </c>
      <c r="G10" s="19" t="s">
        <v>31</v>
      </c>
      <c r="H10" s="18" t="s">
        <v>184</v>
      </c>
      <c r="I10" s="19" t="s">
        <v>22</v>
      </c>
      <c r="J10" s="19" t="s">
        <v>22</v>
      </c>
      <c r="K10" s="28"/>
      <c r="L10" s="28"/>
      <c r="M10" s="28"/>
      <c r="N10" s="28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50" x14ac:dyDescent="0.25">
      <c r="A11" s="28" t="s">
        <v>185</v>
      </c>
      <c r="B11" s="83"/>
      <c r="C11" s="83"/>
      <c r="D11" s="83"/>
      <c r="E11" s="62" t="s">
        <v>186</v>
      </c>
      <c r="F11" s="62" t="s">
        <v>58</v>
      </c>
      <c r="G11" s="17" t="s">
        <v>31</v>
      </c>
      <c r="H11" s="18" t="s">
        <v>46</v>
      </c>
      <c r="I11" s="19" t="s">
        <v>55</v>
      </c>
      <c r="J11" s="19" t="s">
        <v>55</v>
      </c>
      <c r="K11" s="28"/>
      <c r="L11" s="28"/>
      <c r="M11" s="28"/>
      <c r="N11" s="49" t="s">
        <v>187</v>
      </c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2.5" x14ac:dyDescent="0.25">
      <c r="A12" s="30"/>
      <c r="B12" s="105"/>
      <c r="C12" s="105"/>
      <c r="D12" s="105"/>
      <c r="E12" s="50"/>
      <c r="F12" s="68"/>
      <c r="G12" s="51"/>
      <c r="H12" s="50"/>
      <c r="I12" s="30"/>
      <c r="J12" s="30"/>
      <c r="K12" s="30"/>
      <c r="L12" s="30"/>
      <c r="M12" s="30"/>
      <c r="N12" s="30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2.5" x14ac:dyDescent="0.25">
      <c r="A13" s="30"/>
      <c r="B13" s="105"/>
      <c r="C13" s="105"/>
      <c r="D13" s="105"/>
      <c r="E13" s="50"/>
      <c r="F13" s="68"/>
      <c r="G13" s="51"/>
      <c r="H13" s="50"/>
      <c r="I13" s="30"/>
      <c r="J13" s="30"/>
      <c r="K13" s="30"/>
      <c r="L13" s="30"/>
      <c r="M13" s="30"/>
      <c r="N13" s="30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2.5" x14ac:dyDescent="0.25">
      <c r="A14" s="30"/>
      <c r="B14" s="105"/>
      <c r="C14" s="105"/>
      <c r="D14" s="105"/>
      <c r="E14" s="50"/>
      <c r="F14" s="68"/>
      <c r="G14" s="51"/>
      <c r="H14" s="50"/>
      <c r="I14" s="30"/>
      <c r="J14" s="30"/>
      <c r="K14" s="30"/>
      <c r="L14" s="30"/>
      <c r="M14" s="30"/>
      <c r="N14" s="30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2.5" x14ac:dyDescent="0.25">
      <c r="A15" s="30"/>
      <c r="B15" s="50"/>
      <c r="C15" s="50"/>
      <c r="D15" s="50"/>
      <c r="E15" s="50"/>
      <c r="F15" s="68"/>
      <c r="G15" s="51"/>
      <c r="H15" s="50"/>
      <c r="I15" s="30"/>
      <c r="J15" s="30"/>
      <c r="K15" s="30"/>
      <c r="L15" s="30"/>
      <c r="M15" s="30"/>
      <c r="N15" s="30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5.75" customHeight="1" x14ac:dyDescent="0.25">
      <c r="A16" s="66"/>
      <c r="B16" s="66"/>
      <c r="C16" s="66"/>
      <c r="D16" s="66"/>
      <c r="E16" s="12"/>
      <c r="F16" s="66"/>
      <c r="G16" s="66"/>
      <c r="H16" s="66"/>
      <c r="I16" s="66"/>
      <c r="J16" s="66"/>
      <c r="K16" s="66"/>
      <c r="L16" s="66"/>
      <c r="M16" s="66"/>
      <c r="N16" s="66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14" ht="15.75" customHeight="1" x14ac:dyDescent="0.25">
      <c r="A17" s="66"/>
      <c r="B17" s="66"/>
      <c r="C17" s="66"/>
      <c r="D17" s="66"/>
      <c r="E17" s="13"/>
      <c r="F17" s="66"/>
      <c r="G17" s="66"/>
      <c r="H17" s="66"/>
      <c r="I17" s="66"/>
      <c r="J17" s="66"/>
      <c r="K17" s="66"/>
      <c r="L17" s="66"/>
      <c r="M17" s="66"/>
      <c r="N17" s="66"/>
    </row>
    <row r="18" spans="1:14" ht="15.75" customHeight="1" x14ac:dyDescent="0.25">
      <c r="A18" s="66"/>
      <c r="B18" s="66"/>
      <c r="C18" s="66"/>
      <c r="D18" s="66"/>
      <c r="E18" s="66"/>
      <c r="F18" s="66"/>
      <c r="G18" s="66"/>
      <c r="H18" s="12"/>
      <c r="I18" s="66"/>
      <c r="J18" s="66"/>
      <c r="K18" s="66"/>
      <c r="L18" s="66"/>
      <c r="M18" s="66"/>
      <c r="N18" s="66"/>
    </row>
    <row r="19" spans="1:14" ht="12.5" x14ac:dyDescent="0.25">
      <c r="A19" s="66"/>
      <c r="B19" s="66"/>
      <c r="C19" s="66"/>
      <c r="D19" s="66"/>
      <c r="E19" s="66"/>
      <c r="F19" s="66"/>
      <c r="G19" s="66"/>
      <c r="H19" s="8"/>
      <c r="I19" s="66"/>
      <c r="J19" s="66"/>
      <c r="K19" s="66"/>
      <c r="L19" s="66"/>
      <c r="M19" s="66"/>
      <c r="N19" s="66"/>
    </row>
    <row r="20" spans="1:14" ht="12.5" x14ac:dyDescent="0.2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 spans="1:14" ht="12.5" x14ac:dyDescent="0.2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14" ht="12.5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2.5" x14ac:dyDescent="0.25">
      <c r="A23" s="66"/>
      <c r="B23" s="66"/>
      <c r="C23" s="66"/>
      <c r="D23" s="66"/>
      <c r="E23" s="12"/>
      <c r="F23" s="66"/>
      <c r="G23" s="66"/>
      <c r="H23" s="66"/>
      <c r="I23" s="66"/>
      <c r="J23" s="66"/>
      <c r="K23" s="66"/>
      <c r="L23" s="66"/>
      <c r="M23" s="66"/>
      <c r="N23" s="66"/>
    </row>
    <row r="24" spans="1:14" ht="12.5" x14ac:dyDescent="0.25">
      <c r="A24" s="66"/>
      <c r="B24" s="66"/>
      <c r="C24" s="66"/>
      <c r="D24" s="66"/>
      <c r="E24" s="12"/>
      <c r="F24" s="66"/>
      <c r="G24" s="66"/>
      <c r="H24" s="66"/>
      <c r="I24" s="66"/>
      <c r="J24" s="66"/>
      <c r="K24" s="66"/>
      <c r="L24" s="66"/>
      <c r="M24" s="66"/>
      <c r="N24" s="66"/>
    </row>
    <row r="25" spans="1:14" ht="12.5" x14ac:dyDescent="0.25">
      <c r="A25" s="66"/>
      <c r="B25" s="66"/>
      <c r="C25" s="66"/>
      <c r="D25" s="66"/>
      <c r="E25" s="13"/>
      <c r="F25" s="66"/>
      <c r="G25" s="66"/>
      <c r="H25" s="66"/>
      <c r="I25" s="66"/>
      <c r="J25" s="66"/>
      <c r="K25" s="66"/>
      <c r="L25" s="66"/>
      <c r="M25" s="66"/>
      <c r="N25" s="66"/>
    </row>
    <row r="26" spans="1:14" ht="12.5" x14ac:dyDescent="0.25">
      <c r="A26" s="66"/>
      <c r="B26" s="66"/>
      <c r="C26" s="66"/>
      <c r="D26" s="66"/>
      <c r="E26" s="66"/>
      <c r="F26" s="66"/>
      <c r="G26" s="66"/>
      <c r="H26" s="12"/>
      <c r="I26" s="66"/>
      <c r="J26" s="66"/>
      <c r="K26" s="66"/>
      <c r="L26" s="66"/>
      <c r="M26" s="66"/>
      <c r="N26" s="66"/>
    </row>
    <row r="27" spans="1:14" ht="12.5" x14ac:dyDescent="0.25">
      <c r="A27" s="66"/>
      <c r="B27" s="66"/>
      <c r="C27" s="66"/>
      <c r="D27" s="66"/>
      <c r="E27" s="66"/>
      <c r="F27" s="66"/>
      <c r="G27" s="66"/>
      <c r="H27" s="8"/>
      <c r="I27" s="66"/>
      <c r="J27" s="66"/>
      <c r="K27" s="66"/>
      <c r="L27" s="66"/>
      <c r="M27" s="66"/>
      <c r="N27" s="66"/>
    </row>
    <row r="28" spans="1:14" ht="12.5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</row>
    <row r="29" spans="1:14" ht="12.5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</row>
    <row r="30" spans="1:14" ht="12.5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</row>
    <row r="31" spans="1:14" ht="12.5" x14ac:dyDescent="0.25">
      <c r="A31" s="66"/>
      <c r="B31" s="66"/>
      <c r="C31" s="66"/>
      <c r="D31" s="66"/>
      <c r="E31" s="12"/>
      <c r="F31" s="66"/>
      <c r="G31" s="66"/>
      <c r="H31" s="66"/>
      <c r="I31" s="66"/>
      <c r="J31" s="66"/>
      <c r="K31" s="66"/>
      <c r="L31" s="66"/>
      <c r="M31" s="66"/>
      <c r="N31" s="66"/>
    </row>
    <row r="32" spans="1:14" ht="12.5" x14ac:dyDescent="0.25">
      <c r="A32" s="66"/>
      <c r="B32" s="66"/>
      <c r="C32" s="66"/>
      <c r="D32" s="66"/>
      <c r="E32" s="12"/>
      <c r="F32" s="66"/>
      <c r="G32" s="66"/>
      <c r="H32" s="66"/>
      <c r="I32" s="66"/>
      <c r="J32" s="66"/>
      <c r="K32" s="66"/>
      <c r="L32" s="66"/>
      <c r="M32" s="66"/>
      <c r="N32" s="66"/>
    </row>
    <row r="33" spans="1:14" ht="12.5" x14ac:dyDescent="0.25">
      <c r="A33" s="66"/>
      <c r="B33" s="66"/>
      <c r="C33" s="66"/>
      <c r="D33" s="66"/>
      <c r="E33" s="13"/>
      <c r="F33" s="66"/>
      <c r="G33" s="66"/>
      <c r="H33" s="66"/>
      <c r="I33" s="66"/>
      <c r="J33" s="66"/>
      <c r="K33" s="66"/>
      <c r="L33" s="66"/>
      <c r="M33" s="66"/>
      <c r="N33" s="66"/>
    </row>
    <row r="34" spans="1:14" ht="12.5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6"/>
      <c r="L34" s="66"/>
      <c r="M34" s="66"/>
      <c r="N34" s="66"/>
    </row>
    <row r="35" spans="1:14" ht="12.5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6"/>
      <c r="L35" s="66"/>
      <c r="M35" s="66"/>
      <c r="N35" s="66"/>
    </row>
    <row r="36" spans="1:14" ht="12.5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6"/>
      <c r="L36" s="66"/>
      <c r="M36" s="66"/>
      <c r="N36" s="66"/>
    </row>
    <row r="37" spans="1:14" ht="12.5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6"/>
      <c r="L37" s="66"/>
      <c r="M37" s="66"/>
      <c r="N37" s="66"/>
    </row>
    <row r="38" spans="1:14" ht="12.5" x14ac:dyDescent="0.2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6"/>
      <c r="L38" s="66"/>
      <c r="M38" s="66"/>
      <c r="N38" s="66"/>
    </row>
    <row r="39" spans="1:14" ht="12.5" x14ac:dyDescent="0.2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6"/>
      <c r="L39" s="66"/>
      <c r="M39" s="66"/>
      <c r="N39" s="66"/>
    </row>
    <row r="40" spans="1:14" ht="12.5" x14ac:dyDescent="0.2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6"/>
      <c r="L40" s="66"/>
      <c r="M40" s="66"/>
      <c r="N40" s="66"/>
    </row>
    <row r="41" spans="1:14" ht="12.5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6"/>
      <c r="L41" s="66"/>
      <c r="M41" s="66"/>
      <c r="N41" s="66"/>
    </row>
    <row r="42" spans="1:14" ht="12.5" x14ac:dyDescent="0.2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6"/>
      <c r="L42" s="66"/>
      <c r="M42" s="66"/>
      <c r="N42" s="66"/>
    </row>
    <row r="43" spans="1:14" ht="12.5" x14ac:dyDescent="0.2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6"/>
      <c r="L43" s="66"/>
      <c r="M43" s="66"/>
      <c r="N43" s="66"/>
    </row>
    <row r="44" spans="1:14" ht="12.5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6"/>
      <c r="L44" s="66"/>
      <c r="M44" s="66"/>
      <c r="N44" s="66"/>
    </row>
    <row r="45" spans="1:14" ht="12.5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6"/>
      <c r="L45" s="66"/>
      <c r="M45" s="66"/>
      <c r="N45" s="66"/>
    </row>
    <row r="46" spans="1:14" ht="12.5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6"/>
      <c r="L46" s="66"/>
      <c r="M46" s="66"/>
      <c r="N46" s="66"/>
    </row>
    <row r="47" spans="1:14" ht="12.5" x14ac:dyDescent="0.2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6"/>
      <c r="L47" s="66"/>
      <c r="M47" s="66"/>
      <c r="N47" s="66"/>
    </row>
    <row r="50" spans="1:10" ht="12.5" x14ac:dyDescent="0.25">
      <c r="A50" s="67"/>
      <c r="B50" s="4"/>
      <c r="C50" s="4"/>
      <c r="D50" s="67"/>
      <c r="E50" s="67"/>
      <c r="F50" s="67"/>
      <c r="G50" s="5"/>
      <c r="H50" s="67"/>
      <c r="I50" s="5"/>
      <c r="J50" s="5"/>
    </row>
    <row r="51" spans="1:10" ht="12.5" x14ac:dyDescent="0.25">
      <c r="A51" s="67"/>
      <c r="B51" s="4"/>
      <c r="C51" s="4"/>
      <c r="D51" s="67"/>
      <c r="E51" s="67"/>
      <c r="F51" s="67"/>
      <c r="G51" s="5"/>
      <c r="H51" s="67"/>
      <c r="I51" s="5"/>
      <c r="J51" s="5"/>
    </row>
    <row r="52" spans="1:10" ht="12.5" x14ac:dyDescent="0.25">
      <c r="A52" s="67"/>
      <c r="B52" s="4"/>
      <c r="C52" s="4"/>
      <c r="D52" s="67"/>
      <c r="E52" s="67"/>
      <c r="F52" s="67"/>
      <c r="G52" s="5"/>
      <c r="H52" s="67"/>
      <c r="I52" s="5"/>
      <c r="J52" s="5"/>
    </row>
    <row r="53" spans="1:10" ht="12.5" x14ac:dyDescent="0.25">
      <c r="A53" s="67"/>
      <c r="B53" s="4"/>
      <c r="C53" s="4"/>
      <c r="D53" s="67"/>
      <c r="E53" s="67"/>
      <c r="F53" s="67"/>
      <c r="G53" s="5"/>
      <c r="H53" s="67"/>
      <c r="I53" s="5"/>
      <c r="J53" s="5"/>
    </row>
    <row r="54" spans="1:10" ht="12.5" x14ac:dyDescent="0.25">
      <c r="A54" s="67"/>
      <c r="B54" s="67"/>
      <c r="C54" s="67"/>
      <c r="D54" s="67"/>
      <c r="E54" s="67"/>
      <c r="F54" s="67"/>
      <c r="G54" s="5"/>
      <c r="H54" s="67"/>
      <c r="I54" s="5"/>
      <c r="J54" s="5"/>
    </row>
    <row r="55" spans="1:10" ht="12.5" x14ac:dyDescent="0.25">
      <c r="A55" s="67"/>
      <c r="B55" s="67"/>
      <c r="C55" s="67"/>
      <c r="D55" s="67"/>
      <c r="E55" s="67"/>
      <c r="F55" s="67"/>
      <c r="G55" s="67"/>
      <c r="H55" s="67"/>
      <c r="I55" s="5"/>
      <c r="J55" s="5"/>
    </row>
    <row r="56" spans="1:10" ht="12.5" x14ac:dyDescent="0.25">
      <c r="A56" s="67"/>
      <c r="B56" s="67"/>
      <c r="C56" s="67"/>
      <c r="D56" s="67"/>
      <c r="E56" s="67"/>
      <c r="F56" s="67"/>
      <c r="G56" s="67"/>
      <c r="H56" s="67"/>
      <c r="I56" s="5"/>
      <c r="J56" s="5"/>
    </row>
    <row r="57" spans="1:10" ht="12.5" x14ac:dyDescent="0.25">
      <c r="A57" s="67"/>
      <c r="B57" s="67"/>
      <c r="C57" s="67"/>
      <c r="D57" s="67"/>
      <c r="E57" s="67"/>
      <c r="F57" s="67"/>
      <c r="G57" s="67"/>
      <c r="H57" s="67"/>
      <c r="I57" s="5"/>
      <c r="J57" s="5"/>
    </row>
    <row r="58" spans="1:10" ht="12.5" x14ac:dyDescent="0.25">
      <c r="A58" s="67"/>
      <c r="B58" s="67"/>
      <c r="C58" s="67"/>
      <c r="D58" s="67"/>
      <c r="E58" s="67"/>
      <c r="F58" s="67"/>
      <c r="G58" s="67"/>
      <c r="H58" s="67"/>
      <c r="I58" s="5"/>
      <c r="J58" s="5"/>
    </row>
    <row r="59" spans="1:10" ht="12.5" x14ac:dyDescent="0.25">
      <c r="A59" s="67"/>
      <c r="B59" s="67"/>
      <c r="C59" s="67"/>
      <c r="D59" s="67"/>
      <c r="E59" s="67"/>
      <c r="F59" s="67"/>
      <c r="G59" s="67"/>
      <c r="H59" s="67"/>
      <c r="I59" s="5"/>
      <c r="J59" s="5"/>
    </row>
    <row r="60" spans="1:10" ht="12.5" x14ac:dyDescent="0.25">
      <c r="A60" s="67"/>
      <c r="B60" s="67"/>
      <c r="C60" s="67"/>
      <c r="D60" s="67"/>
      <c r="E60" s="67"/>
      <c r="F60" s="67"/>
      <c r="G60" s="67"/>
      <c r="H60" s="67"/>
      <c r="I60" s="5"/>
      <c r="J60" s="5"/>
    </row>
    <row r="61" spans="1:10" ht="12.5" x14ac:dyDescent="0.25">
      <c r="A61" s="67"/>
      <c r="B61" s="67"/>
      <c r="C61" s="67"/>
      <c r="D61" s="67"/>
      <c r="E61" s="67"/>
      <c r="F61" s="67"/>
      <c r="G61" s="67"/>
      <c r="H61" s="67"/>
      <c r="I61" s="5"/>
      <c r="J61" s="5"/>
    </row>
    <row r="62" spans="1:10" ht="12.5" x14ac:dyDescent="0.25">
      <c r="A62" s="67"/>
      <c r="B62" s="67"/>
      <c r="C62" s="67"/>
      <c r="D62" s="67"/>
      <c r="E62" s="67"/>
      <c r="F62" s="67"/>
      <c r="G62" s="67"/>
      <c r="H62" s="67"/>
      <c r="I62" s="5"/>
      <c r="J62" s="5"/>
    </row>
    <row r="63" spans="1:10" ht="12.5" x14ac:dyDescent="0.25">
      <c r="A63" s="67"/>
      <c r="B63" s="67"/>
      <c r="C63" s="67"/>
      <c r="D63" s="67"/>
      <c r="E63" s="67"/>
      <c r="F63" s="67"/>
      <c r="G63" s="67"/>
      <c r="H63" s="67"/>
      <c r="I63" s="5"/>
      <c r="J63" s="5"/>
    </row>
    <row r="64" spans="1:10" ht="12.5" x14ac:dyDescent="0.25">
      <c r="A64" s="67"/>
      <c r="B64" s="67"/>
      <c r="C64" s="67"/>
      <c r="D64" s="67"/>
      <c r="E64" s="67"/>
      <c r="F64" s="67"/>
      <c r="G64" s="67"/>
      <c r="H64" s="67"/>
      <c r="I64" s="5"/>
      <c r="J64" s="5"/>
    </row>
    <row r="65" spans="9:10" ht="12.5" x14ac:dyDescent="0.25">
      <c r="I65" s="5"/>
      <c r="J65" s="5"/>
    </row>
    <row r="66" spans="9:10" ht="12.5" x14ac:dyDescent="0.25">
      <c r="I66" s="5"/>
      <c r="J66" s="5"/>
    </row>
    <row r="67" spans="9:10" ht="12.5" x14ac:dyDescent="0.25">
      <c r="I67" s="5"/>
      <c r="J67" s="5"/>
    </row>
    <row r="68" spans="9:10" ht="12.5" x14ac:dyDescent="0.25">
      <c r="I68" s="5"/>
      <c r="J68" s="5"/>
    </row>
    <row r="69" spans="9:10" ht="12.5" x14ac:dyDescent="0.25">
      <c r="I69" s="5"/>
      <c r="J69" s="5"/>
    </row>
    <row r="70" spans="9:10" ht="12.5" x14ac:dyDescent="0.25">
      <c r="I70" s="5"/>
      <c r="J70" s="5"/>
    </row>
    <row r="71" spans="9:10" ht="12.5" x14ac:dyDescent="0.25">
      <c r="I71" s="5"/>
      <c r="J71" s="5"/>
    </row>
    <row r="72" spans="9:10" ht="12.5" x14ac:dyDescent="0.25">
      <c r="I72" s="5"/>
      <c r="J72" s="5"/>
    </row>
    <row r="73" spans="9:10" ht="12.5" x14ac:dyDescent="0.25">
      <c r="I73" s="5"/>
      <c r="J73" s="5"/>
    </row>
    <row r="74" spans="9:10" ht="12.5" x14ac:dyDescent="0.25">
      <c r="I74" s="5"/>
      <c r="J74" s="5"/>
    </row>
    <row r="75" spans="9:10" ht="12.5" x14ac:dyDescent="0.25">
      <c r="I75" s="5"/>
      <c r="J75" s="5"/>
    </row>
    <row r="76" spans="9:10" ht="12.5" x14ac:dyDescent="0.25">
      <c r="I76" s="5"/>
      <c r="J76" s="5"/>
    </row>
    <row r="77" spans="9:10" ht="12.5" x14ac:dyDescent="0.25">
      <c r="I77" s="5"/>
      <c r="J77" s="5"/>
    </row>
    <row r="78" spans="9:10" ht="12.5" x14ac:dyDescent="0.25">
      <c r="I78" s="5"/>
      <c r="J78" s="5"/>
    </row>
    <row r="79" spans="9:10" ht="12.5" x14ac:dyDescent="0.25">
      <c r="I79" s="5"/>
      <c r="J79" s="5"/>
    </row>
    <row r="80" spans="9:10" ht="12.5" x14ac:dyDescent="0.25">
      <c r="I80" s="5"/>
      <c r="J80" s="5"/>
    </row>
    <row r="81" spans="9:10" ht="12.5" x14ac:dyDescent="0.25">
      <c r="I81" s="5"/>
      <c r="J81" s="5"/>
    </row>
    <row r="82" spans="9:10" ht="12.5" x14ac:dyDescent="0.25">
      <c r="I82" s="5"/>
      <c r="J82" s="5"/>
    </row>
    <row r="83" spans="9:10" ht="12.5" x14ac:dyDescent="0.25">
      <c r="I83" s="5"/>
      <c r="J83" s="5"/>
    </row>
    <row r="84" spans="9:10" ht="12.5" x14ac:dyDescent="0.25">
      <c r="I84" s="5"/>
      <c r="J84" s="5"/>
    </row>
    <row r="85" spans="9:10" ht="12.5" x14ac:dyDescent="0.25">
      <c r="I85" s="5"/>
      <c r="J85" s="5"/>
    </row>
    <row r="86" spans="9:10" ht="12.5" x14ac:dyDescent="0.25">
      <c r="I86" s="5"/>
      <c r="J86" s="5"/>
    </row>
    <row r="87" spans="9:10" ht="12.5" x14ac:dyDescent="0.25">
      <c r="I87" s="5"/>
      <c r="J87" s="5"/>
    </row>
    <row r="88" spans="9:10" ht="12.5" x14ac:dyDescent="0.25">
      <c r="I88" s="5"/>
      <c r="J88" s="5"/>
    </row>
    <row r="89" spans="9:10" ht="12.5" x14ac:dyDescent="0.25">
      <c r="I89" s="5"/>
      <c r="J89" s="5"/>
    </row>
    <row r="90" spans="9:10" ht="12.5" x14ac:dyDescent="0.25">
      <c r="I90" s="5"/>
      <c r="J90" s="5"/>
    </row>
    <row r="91" spans="9:10" ht="12.5" x14ac:dyDescent="0.25">
      <c r="I91" s="5"/>
      <c r="J91" s="5"/>
    </row>
    <row r="92" spans="9:10" ht="12.5" x14ac:dyDescent="0.25">
      <c r="I92" s="5"/>
      <c r="J92" s="5"/>
    </row>
    <row r="93" spans="9:10" ht="12.5" x14ac:dyDescent="0.25">
      <c r="I93" s="5"/>
      <c r="J93" s="5"/>
    </row>
    <row r="94" spans="9:10" ht="12.5" x14ac:dyDescent="0.25">
      <c r="I94" s="5"/>
      <c r="J94" s="5"/>
    </row>
    <row r="95" spans="9:10" ht="12.5" x14ac:dyDescent="0.25">
      <c r="I95" s="5"/>
      <c r="J95" s="5"/>
    </row>
    <row r="96" spans="9:10" ht="12.5" x14ac:dyDescent="0.25">
      <c r="I96" s="5"/>
      <c r="J96" s="5"/>
    </row>
    <row r="97" spans="9:10" ht="12.5" x14ac:dyDescent="0.25">
      <c r="I97" s="5"/>
      <c r="J97" s="5"/>
    </row>
    <row r="98" spans="9:10" ht="12.5" x14ac:dyDescent="0.25">
      <c r="I98" s="5"/>
      <c r="J98" s="5"/>
    </row>
    <row r="99" spans="9:10" ht="12.5" x14ac:dyDescent="0.25">
      <c r="I99" s="5"/>
      <c r="J99" s="5"/>
    </row>
    <row r="100" spans="9:10" ht="12.5" x14ac:dyDescent="0.25">
      <c r="I100" s="5"/>
      <c r="J100" s="5"/>
    </row>
    <row r="101" spans="9:10" ht="12.5" x14ac:dyDescent="0.25">
      <c r="I101" s="5"/>
      <c r="J101" s="5"/>
    </row>
    <row r="102" spans="9:10" ht="12.5" x14ac:dyDescent="0.25">
      <c r="I102" s="5"/>
      <c r="J102" s="5"/>
    </row>
    <row r="103" spans="9:10" ht="12.5" x14ac:dyDescent="0.25">
      <c r="I103" s="5"/>
      <c r="J103" s="5"/>
    </row>
    <row r="104" spans="9:10" ht="12.5" x14ac:dyDescent="0.25">
      <c r="I104" s="5"/>
      <c r="J104" s="5"/>
    </row>
    <row r="105" spans="9:10" ht="12.5" x14ac:dyDescent="0.25">
      <c r="I105" s="5"/>
      <c r="J105" s="5"/>
    </row>
    <row r="106" spans="9:10" ht="12.5" x14ac:dyDescent="0.25">
      <c r="I106" s="5"/>
      <c r="J106" s="5"/>
    </row>
    <row r="107" spans="9:10" ht="12.5" x14ac:dyDescent="0.25">
      <c r="I107" s="5"/>
      <c r="J107" s="5"/>
    </row>
    <row r="108" spans="9:10" ht="12.5" x14ac:dyDescent="0.25">
      <c r="I108" s="5"/>
      <c r="J108" s="5"/>
    </row>
    <row r="109" spans="9:10" ht="12.5" x14ac:dyDescent="0.25">
      <c r="I109" s="5"/>
      <c r="J109" s="5"/>
    </row>
    <row r="110" spans="9:10" ht="12.5" x14ac:dyDescent="0.25">
      <c r="I110" s="5"/>
      <c r="J110" s="5"/>
    </row>
    <row r="111" spans="9:10" ht="12.5" x14ac:dyDescent="0.25">
      <c r="I111" s="5"/>
      <c r="J111" s="5"/>
    </row>
    <row r="112" spans="9:10" ht="12.5" x14ac:dyDescent="0.25">
      <c r="I112" s="5"/>
      <c r="J112" s="5"/>
    </row>
    <row r="113" spans="9:10" ht="12.5" x14ac:dyDescent="0.25">
      <c r="I113" s="5"/>
      <c r="J113" s="5"/>
    </row>
    <row r="114" spans="9:10" ht="12.5" x14ac:dyDescent="0.25">
      <c r="I114" s="5"/>
      <c r="J114" s="5"/>
    </row>
    <row r="115" spans="9:10" ht="12.5" x14ac:dyDescent="0.25">
      <c r="I115" s="5"/>
      <c r="J115" s="5"/>
    </row>
    <row r="116" spans="9:10" ht="12.5" x14ac:dyDescent="0.25">
      <c r="I116" s="5"/>
      <c r="J116" s="5"/>
    </row>
    <row r="117" spans="9:10" ht="12.5" x14ac:dyDescent="0.25">
      <c r="I117" s="5"/>
      <c r="J117" s="5"/>
    </row>
    <row r="118" spans="9:10" ht="12.5" x14ac:dyDescent="0.25">
      <c r="I118" s="5"/>
      <c r="J118" s="5"/>
    </row>
    <row r="119" spans="9:10" ht="12.5" x14ac:dyDescent="0.25">
      <c r="I119" s="5"/>
      <c r="J119" s="5"/>
    </row>
  </sheetData>
  <mergeCells count="15">
    <mergeCell ref="H1:H2"/>
    <mergeCell ref="I1:J1"/>
    <mergeCell ref="F1:F2"/>
    <mergeCell ref="G1:G2"/>
    <mergeCell ref="A1:A2"/>
    <mergeCell ref="B1:B2"/>
    <mergeCell ref="C1:C2"/>
    <mergeCell ref="D1:D2"/>
    <mergeCell ref="E1:E2"/>
    <mergeCell ref="B4:B11"/>
    <mergeCell ref="C4:C11"/>
    <mergeCell ref="D4:D11"/>
    <mergeCell ref="B12:B14"/>
    <mergeCell ref="C12:C14"/>
    <mergeCell ref="D12:D14"/>
  </mergeCells>
  <conditionalFormatting sqref="G3:G6 G12:G36">
    <cfRule type="containsText" dxfId="44" priority="14" operator="containsText" text="High">
      <formula>NOT(ISERROR(SEARCH(("High"),(G3))))</formula>
    </cfRule>
  </conditionalFormatting>
  <conditionalFormatting sqref="G3:G6 G12:G36">
    <cfRule type="containsText" dxfId="43" priority="15" operator="containsText" text="Medium">
      <formula>NOT(ISERROR(SEARCH(("Medium"),(G3))))</formula>
    </cfRule>
  </conditionalFormatting>
  <conditionalFormatting sqref="G3:G6 G12:G36">
    <cfRule type="containsText" dxfId="42" priority="16" operator="containsText" text="Low">
      <formula>NOT(ISERROR(SEARCH(("Low"),(G3))))</formula>
    </cfRule>
  </conditionalFormatting>
  <conditionalFormatting sqref="I3:J6 I12:J37">
    <cfRule type="containsText" dxfId="41" priority="13" operator="containsText" text="Un-test">
      <formula>NOT(ISERROR(SEARCH("Un-test",I3)))</formula>
    </cfRule>
    <cfRule type="containsText" dxfId="40" priority="17" operator="containsText" text="Passed">
      <formula>NOT(ISERROR(SEARCH(("Passed"),(I3))))</formula>
    </cfRule>
  </conditionalFormatting>
  <conditionalFormatting sqref="I3:J6 I12:J37">
    <cfRule type="containsText" dxfId="39" priority="18" operator="containsText" text="Failed">
      <formula>NOT(ISERROR(SEARCH(("Failed"),(I3))))</formula>
    </cfRule>
  </conditionalFormatting>
  <conditionalFormatting sqref="I50:J82 J12:J15">
    <cfRule type="containsText" dxfId="38" priority="19" operator="containsText" text="Passed">
      <formula>NOT(ISERROR(SEARCH(("Passed"),(I12))))</formula>
    </cfRule>
  </conditionalFormatting>
  <conditionalFormatting sqref="I50:J82 J12:J15">
    <cfRule type="containsText" dxfId="37" priority="20" operator="containsText" text="Failed">
      <formula>NOT(ISERROR(SEARCH(("Failed"),(I12))))</formula>
    </cfRule>
  </conditionalFormatting>
  <conditionalFormatting sqref="I50:J54">
    <cfRule type="containsText" dxfId="36" priority="21" operator="containsText" text="Un-test">
      <formula>NOT(ISERROR(SEARCH(("Un-test"),(I50))))</formula>
    </cfRule>
  </conditionalFormatting>
  <conditionalFormatting sqref="G7:G10">
    <cfRule type="containsText" dxfId="35" priority="7" operator="containsText" text="High">
      <formula>NOT(ISERROR(SEARCH(("High"),(G7))))</formula>
    </cfRule>
  </conditionalFormatting>
  <conditionalFormatting sqref="G7:G10">
    <cfRule type="containsText" dxfId="34" priority="8" operator="containsText" text="Medium">
      <formula>NOT(ISERROR(SEARCH(("Medium"),(G7))))</formula>
    </cfRule>
  </conditionalFormatting>
  <conditionalFormatting sqref="G7:G10">
    <cfRule type="containsText" dxfId="33" priority="9" operator="containsText" text="Low">
      <formula>NOT(ISERROR(SEARCH(("Low"),(G7))))</formula>
    </cfRule>
  </conditionalFormatting>
  <conditionalFormatting sqref="I7:J10">
    <cfRule type="containsText" dxfId="32" priority="10" operator="containsText" text="Passed">
      <formula>NOT(ISERROR(SEARCH(("Passed"),(I7))))</formula>
    </cfRule>
  </conditionalFormatting>
  <conditionalFormatting sqref="I7:J10">
    <cfRule type="containsText" dxfId="31" priority="11" operator="containsText" text="Failed">
      <formula>NOT(ISERROR(SEARCH(("Failed"),(I7))))</formula>
    </cfRule>
  </conditionalFormatting>
  <conditionalFormatting sqref="I7:J10">
    <cfRule type="containsText" dxfId="30" priority="12" operator="containsText" text="Un-test">
      <formula>NOT(ISERROR(SEARCH(("Un-test"),(I7))))</formula>
    </cfRule>
  </conditionalFormatting>
  <conditionalFormatting sqref="G11">
    <cfRule type="containsText" dxfId="29" priority="1" operator="containsText" text="High">
      <formula>NOT(ISERROR(SEARCH(("High"),(G11))))</formula>
    </cfRule>
  </conditionalFormatting>
  <conditionalFormatting sqref="G11">
    <cfRule type="containsText" dxfId="28" priority="2" operator="containsText" text="Medium">
      <formula>NOT(ISERROR(SEARCH(("Medium"),(G11))))</formula>
    </cfRule>
  </conditionalFormatting>
  <conditionalFormatting sqref="G11">
    <cfRule type="containsText" dxfId="27" priority="3" operator="containsText" text="Low">
      <formula>NOT(ISERROR(SEARCH(("Low"),(G11))))</formula>
    </cfRule>
  </conditionalFormatting>
  <conditionalFormatting sqref="I11:J11">
    <cfRule type="containsText" dxfId="26" priority="4" operator="containsText" text="Passed">
      <formula>NOT(ISERROR(SEARCH(("Passed"),(I11))))</formula>
    </cfRule>
  </conditionalFormatting>
  <conditionalFormatting sqref="I11:J11">
    <cfRule type="containsText" dxfId="25" priority="5" operator="containsText" text="Failed">
      <formula>NOT(ISERROR(SEARCH(("Failed"),(I11))))</formula>
    </cfRule>
  </conditionalFormatting>
  <conditionalFormatting sqref="I11:J11">
    <cfRule type="containsText" dxfId="24" priority="6" operator="containsText" text="Un-test">
      <formula>NOT(ISERROR(SEARCH(("Un-test"),(I11))))</formula>
    </cfRule>
  </conditionalFormatting>
  <dataValidations count="2">
    <dataValidation type="list" allowBlank="1" sqref="G50:G54 G3:G15">
      <formula1>"High,Medium,Low"</formula1>
    </dataValidation>
    <dataValidation type="list" allowBlank="1" sqref="I50:J119 I3:J15">
      <formula1>"Passed,Failed,Un-test"</formula1>
    </dataValidation>
  </dataValidations>
  <hyperlinks>
    <hyperlink ref="F7" r:id="rId1" display="mailto:verylongemail@gmail.com"/>
  </hyperlinks>
  <pageMargins left="0" right="0" top="0" bottom="0" header="0" footer="0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6"/>
  <sheetViews>
    <sheetView tabSelected="1" topLeftCell="F4" zoomScale="113" workbookViewId="0">
      <selection activeCell="H4" sqref="H1:H1048576"/>
    </sheetView>
  </sheetViews>
  <sheetFormatPr defaultColWidth="12.54296875" defaultRowHeight="12.5" x14ac:dyDescent="0.25"/>
  <cols>
    <col min="1" max="1" width="12.54296875" bestFit="1" customWidth="1"/>
    <col min="2" max="2" width="43.1796875" bestFit="1" customWidth="1"/>
    <col min="3" max="3" width="36.54296875" bestFit="1" customWidth="1"/>
    <col min="4" max="4" width="37.7265625" bestFit="1" customWidth="1"/>
    <col min="5" max="5" width="45.1796875" bestFit="1" customWidth="1"/>
    <col min="6" max="6" width="36.1796875" bestFit="1" customWidth="1"/>
    <col min="7" max="7" width="10" customWidth="1"/>
    <col min="8" max="8" width="77.1796875" bestFit="1" customWidth="1"/>
    <col min="9" max="9" width="7.1796875" bestFit="1" customWidth="1"/>
    <col min="10" max="10" width="13" bestFit="1" customWidth="1"/>
    <col min="11" max="11" width="4.7265625" bestFit="1" customWidth="1"/>
    <col min="12" max="12" width="11.81640625" bestFit="1" customWidth="1"/>
    <col min="13" max="13" width="6.81640625" bestFit="1" customWidth="1"/>
    <col min="14" max="14" width="8.7265625" bestFit="1" customWidth="1"/>
  </cols>
  <sheetData>
    <row r="1" spans="1:26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0" t="s">
        <v>8</v>
      </c>
      <c r="J1" s="111"/>
      <c r="K1" s="60" t="s">
        <v>9</v>
      </c>
      <c r="L1" s="60" t="s">
        <v>10</v>
      </c>
      <c r="M1" s="60" t="s">
        <v>11</v>
      </c>
      <c r="N1" s="60" t="s">
        <v>12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111"/>
      <c r="B2" s="111"/>
      <c r="C2" s="111"/>
      <c r="D2" s="111"/>
      <c r="E2" s="111"/>
      <c r="F2" s="111"/>
      <c r="G2" s="111"/>
      <c r="H2" s="111"/>
      <c r="I2" s="60" t="s">
        <v>13</v>
      </c>
      <c r="J2" s="60" t="s">
        <v>105</v>
      </c>
      <c r="K2" s="53"/>
      <c r="L2" s="53"/>
      <c r="M2" s="53"/>
      <c r="N2" s="53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50" x14ac:dyDescent="0.25">
      <c r="A3" s="44" t="s">
        <v>188</v>
      </c>
      <c r="B3" s="22" t="s">
        <v>189</v>
      </c>
      <c r="C3" s="22" t="s">
        <v>190</v>
      </c>
      <c r="D3" s="22" t="s">
        <v>191</v>
      </c>
      <c r="E3" s="22"/>
      <c r="F3" s="18"/>
      <c r="G3" s="18" t="s">
        <v>20</v>
      </c>
      <c r="H3" s="22" t="s">
        <v>192</v>
      </c>
      <c r="I3" s="18" t="s">
        <v>22</v>
      </c>
      <c r="J3" s="18" t="s">
        <v>22</v>
      </c>
      <c r="K3" s="44"/>
      <c r="L3" s="44"/>
      <c r="M3" s="44"/>
      <c r="N3" s="44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48" customHeight="1" x14ac:dyDescent="0.25">
      <c r="A4" s="44" t="s">
        <v>193</v>
      </c>
      <c r="B4" s="22" t="s">
        <v>194</v>
      </c>
      <c r="C4" s="22" t="s">
        <v>190</v>
      </c>
      <c r="D4" s="22" t="s">
        <v>195</v>
      </c>
      <c r="E4" s="22" t="s">
        <v>196</v>
      </c>
      <c r="F4" s="18"/>
      <c r="G4" s="18" t="s">
        <v>20</v>
      </c>
      <c r="H4" s="22" t="s">
        <v>197</v>
      </c>
      <c r="I4" s="18" t="s">
        <v>22</v>
      </c>
      <c r="J4" s="18" t="s">
        <v>22</v>
      </c>
      <c r="K4" s="44"/>
      <c r="L4" s="44"/>
      <c r="M4" s="44"/>
      <c r="N4" s="52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x14ac:dyDescent="0.25">
      <c r="A5" s="44" t="s">
        <v>198</v>
      </c>
      <c r="B5" s="83" t="s">
        <v>199</v>
      </c>
      <c r="C5" s="83" t="s">
        <v>200</v>
      </c>
      <c r="D5" s="83" t="s">
        <v>201</v>
      </c>
      <c r="E5" s="18" t="s">
        <v>202</v>
      </c>
      <c r="F5" s="52" t="s">
        <v>203</v>
      </c>
      <c r="G5" s="18" t="s">
        <v>26</v>
      </c>
      <c r="H5" s="52" t="s">
        <v>164</v>
      </c>
      <c r="I5" s="18" t="s">
        <v>22</v>
      </c>
      <c r="J5" s="18" t="s">
        <v>22</v>
      </c>
      <c r="K5" s="44"/>
      <c r="L5" s="44"/>
      <c r="M5" s="44"/>
      <c r="N5" s="44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x14ac:dyDescent="0.25">
      <c r="A6" s="44" t="s">
        <v>204</v>
      </c>
      <c r="B6" s="83"/>
      <c r="C6" s="83"/>
      <c r="D6" s="83"/>
      <c r="E6" s="18" t="s">
        <v>205</v>
      </c>
      <c r="F6" s="52" t="s">
        <v>206</v>
      </c>
      <c r="G6" s="18" t="s">
        <v>20</v>
      </c>
      <c r="H6" s="52" t="s">
        <v>168</v>
      </c>
      <c r="I6" s="18" t="s">
        <v>22</v>
      </c>
      <c r="J6" s="18" t="s">
        <v>22</v>
      </c>
      <c r="K6" s="44"/>
      <c r="L6" s="44"/>
      <c r="M6" s="44"/>
      <c r="N6" s="44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x14ac:dyDescent="0.25">
      <c r="A7" s="44" t="s">
        <v>207</v>
      </c>
      <c r="B7" s="83"/>
      <c r="C7" s="83"/>
      <c r="D7" s="83"/>
      <c r="E7" s="18" t="s">
        <v>208</v>
      </c>
      <c r="F7" s="52" t="s">
        <v>37</v>
      </c>
      <c r="G7" s="18" t="s">
        <v>26</v>
      </c>
      <c r="H7" s="52" t="s">
        <v>171</v>
      </c>
      <c r="I7" s="18" t="s">
        <v>22</v>
      </c>
      <c r="J7" s="18" t="s">
        <v>22</v>
      </c>
      <c r="K7" s="44"/>
      <c r="L7" s="44"/>
      <c r="M7" s="44"/>
      <c r="N7" s="44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x14ac:dyDescent="0.25">
      <c r="A8" s="44" t="s">
        <v>209</v>
      </c>
      <c r="B8" s="83"/>
      <c r="C8" s="83"/>
      <c r="D8" s="83"/>
      <c r="E8" s="18" t="s">
        <v>210</v>
      </c>
      <c r="F8" s="52" t="s">
        <v>45</v>
      </c>
      <c r="G8" s="18" t="s">
        <v>20</v>
      </c>
      <c r="H8" s="52" t="s">
        <v>46</v>
      </c>
      <c r="I8" s="18" t="s">
        <v>22</v>
      </c>
      <c r="J8" s="18" t="s">
        <v>22</v>
      </c>
      <c r="K8" s="44"/>
      <c r="L8" s="44"/>
      <c r="M8" s="44"/>
      <c r="N8" s="44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s="48" customFormat="1" x14ac:dyDescent="0.25">
      <c r="A9" s="44" t="s">
        <v>211</v>
      </c>
      <c r="B9" s="83"/>
      <c r="C9" s="83"/>
      <c r="D9" s="83"/>
      <c r="E9" s="18" t="s">
        <v>212</v>
      </c>
      <c r="F9" s="18"/>
      <c r="G9" s="18" t="s">
        <v>26</v>
      </c>
      <c r="H9" s="18" t="s">
        <v>213</v>
      </c>
      <c r="I9" s="18" t="s">
        <v>22</v>
      </c>
      <c r="J9" s="18" t="s">
        <v>22</v>
      </c>
      <c r="K9" s="44"/>
      <c r="L9" s="44"/>
      <c r="M9" s="44"/>
      <c r="N9" s="44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x14ac:dyDescent="0.25">
      <c r="A10" s="44" t="s">
        <v>214</v>
      </c>
      <c r="B10" s="83"/>
      <c r="C10" s="83"/>
      <c r="D10" s="83"/>
      <c r="E10" s="44" t="s">
        <v>215</v>
      </c>
      <c r="F10" s="52" t="s">
        <v>216</v>
      </c>
      <c r="G10" s="18" t="s">
        <v>20</v>
      </c>
      <c r="H10" s="52" t="s">
        <v>516</v>
      </c>
      <c r="I10" s="18" t="s">
        <v>22</v>
      </c>
      <c r="J10" s="18" t="s">
        <v>22</v>
      </c>
      <c r="K10" s="44"/>
      <c r="L10" s="44"/>
      <c r="M10" s="44"/>
      <c r="N10" s="44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x14ac:dyDescent="0.25">
      <c r="A11" s="44" t="s">
        <v>217</v>
      </c>
      <c r="B11" s="83"/>
      <c r="C11" s="83"/>
      <c r="D11" s="83"/>
      <c r="E11" s="52" t="s">
        <v>218</v>
      </c>
      <c r="F11" s="52" t="s">
        <v>219</v>
      </c>
      <c r="G11" s="18" t="s">
        <v>26</v>
      </c>
      <c r="H11" s="52" t="s">
        <v>220</v>
      </c>
      <c r="I11" s="18" t="s">
        <v>22</v>
      </c>
      <c r="J11" s="18" t="s">
        <v>22</v>
      </c>
      <c r="K11" s="44"/>
      <c r="L11" s="44"/>
      <c r="M11" s="44"/>
      <c r="N11" s="44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s="48" customFormat="1" x14ac:dyDescent="0.25">
      <c r="A12" s="44" t="s">
        <v>221</v>
      </c>
      <c r="B12" s="83"/>
      <c r="C12" s="83"/>
      <c r="D12" s="83"/>
      <c r="E12" s="52" t="s">
        <v>222</v>
      </c>
      <c r="F12" s="52" t="s">
        <v>223</v>
      </c>
      <c r="G12" s="18" t="s">
        <v>26</v>
      </c>
      <c r="H12" s="52" t="s">
        <v>224</v>
      </c>
      <c r="I12" s="18" t="s">
        <v>55</v>
      </c>
      <c r="J12" s="18" t="s">
        <v>55</v>
      </c>
      <c r="K12" s="44"/>
      <c r="L12" s="44"/>
      <c r="M12" s="44"/>
      <c r="N12" s="44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s="48" customFormat="1" x14ac:dyDescent="0.25">
      <c r="A13" s="44" t="s">
        <v>225</v>
      </c>
      <c r="B13" s="83"/>
      <c r="C13" s="83"/>
      <c r="D13" s="83"/>
      <c r="E13" s="52" t="s">
        <v>226</v>
      </c>
      <c r="F13" s="52" t="s">
        <v>227</v>
      </c>
      <c r="G13" s="18" t="s">
        <v>26</v>
      </c>
      <c r="H13" s="52" t="s">
        <v>224</v>
      </c>
      <c r="I13" s="18" t="s">
        <v>55</v>
      </c>
      <c r="J13" s="18" t="s">
        <v>55</v>
      </c>
      <c r="K13" s="44"/>
      <c r="L13" s="44"/>
      <c r="M13" s="44"/>
      <c r="N13" s="44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x14ac:dyDescent="0.25">
      <c r="A14" s="44" t="s">
        <v>228</v>
      </c>
      <c r="B14" s="83"/>
      <c r="C14" s="83"/>
      <c r="D14" s="83"/>
      <c r="E14" s="52" t="s">
        <v>229</v>
      </c>
      <c r="F14" s="52" t="s">
        <v>230</v>
      </c>
      <c r="G14" s="18" t="s">
        <v>26</v>
      </c>
      <c r="H14" s="52" t="s">
        <v>231</v>
      </c>
      <c r="I14" s="18" t="s">
        <v>22</v>
      </c>
      <c r="J14" s="18" t="s">
        <v>22</v>
      </c>
      <c r="K14" s="44"/>
      <c r="L14" s="44"/>
      <c r="M14" s="44"/>
      <c r="N14" s="44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s="48" customFormat="1" x14ac:dyDescent="0.25">
      <c r="A15" s="44" t="s">
        <v>232</v>
      </c>
      <c r="B15" s="83"/>
      <c r="C15" s="83"/>
      <c r="D15" s="83"/>
      <c r="E15" s="52" t="s">
        <v>233</v>
      </c>
      <c r="F15" s="52" t="s">
        <v>234</v>
      </c>
      <c r="G15" s="18" t="s">
        <v>26</v>
      </c>
      <c r="H15" s="52" t="s">
        <v>235</v>
      </c>
      <c r="I15" s="18" t="s">
        <v>55</v>
      </c>
      <c r="J15" s="18" t="s">
        <v>55</v>
      </c>
      <c r="K15" s="44"/>
      <c r="L15" s="44"/>
      <c r="M15" s="44"/>
      <c r="N15" s="44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s="48" customFormat="1" x14ac:dyDescent="0.25">
      <c r="A16" s="44" t="s">
        <v>236</v>
      </c>
      <c r="B16" s="83"/>
      <c r="C16" s="83"/>
      <c r="D16" s="83"/>
      <c r="E16" s="52" t="s">
        <v>237</v>
      </c>
      <c r="F16" s="52" t="s">
        <v>238</v>
      </c>
      <c r="G16" s="18" t="s">
        <v>26</v>
      </c>
      <c r="H16" s="52" t="s">
        <v>239</v>
      </c>
      <c r="I16" s="18" t="s">
        <v>55</v>
      </c>
      <c r="J16" s="18" t="s">
        <v>55</v>
      </c>
      <c r="K16" s="44"/>
      <c r="L16" s="44"/>
      <c r="M16" s="44"/>
      <c r="N16" s="44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14" s="48" customFormat="1" x14ac:dyDescent="0.25">
      <c r="A17" s="44" t="s">
        <v>240</v>
      </c>
      <c r="B17" s="83"/>
      <c r="C17" s="83"/>
      <c r="D17" s="83"/>
      <c r="E17" s="52" t="s">
        <v>241</v>
      </c>
      <c r="F17" s="52" t="s">
        <v>242</v>
      </c>
      <c r="G17" s="18" t="s">
        <v>26</v>
      </c>
      <c r="H17" s="52" t="s">
        <v>243</v>
      </c>
      <c r="I17" s="18" t="s">
        <v>55</v>
      </c>
      <c r="J17" s="18" t="s">
        <v>55</v>
      </c>
      <c r="K17" s="44"/>
      <c r="L17" s="44"/>
      <c r="M17" s="44"/>
      <c r="N17" s="44"/>
    </row>
    <row r="18" spans="1:14" x14ac:dyDescent="0.25">
      <c r="A18" s="44" t="s">
        <v>244</v>
      </c>
      <c r="B18" s="83"/>
      <c r="C18" s="83"/>
      <c r="D18" s="83"/>
      <c r="E18" s="52" t="s">
        <v>245</v>
      </c>
      <c r="F18" s="52" t="s">
        <v>246</v>
      </c>
      <c r="G18" s="18" t="s">
        <v>26</v>
      </c>
      <c r="H18" s="52" t="s">
        <v>247</v>
      </c>
      <c r="I18" s="18" t="s">
        <v>22</v>
      </c>
      <c r="J18" s="18" t="s">
        <v>22</v>
      </c>
      <c r="K18" s="44"/>
      <c r="L18" s="44"/>
      <c r="M18" s="44"/>
      <c r="N18" s="44"/>
    </row>
    <row r="19" spans="1:14" x14ac:dyDescent="0.25">
      <c r="A19" s="44" t="s">
        <v>248</v>
      </c>
      <c r="B19" s="108" t="s">
        <v>249</v>
      </c>
      <c r="C19" s="108" t="s">
        <v>250</v>
      </c>
      <c r="D19" s="113" t="s">
        <v>251</v>
      </c>
      <c r="E19" s="52" t="s">
        <v>252</v>
      </c>
      <c r="F19" s="52" t="s">
        <v>253</v>
      </c>
      <c r="G19" s="18" t="s">
        <v>20</v>
      </c>
      <c r="H19" s="52" t="s">
        <v>254</v>
      </c>
      <c r="I19" s="18" t="s">
        <v>22</v>
      </c>
      <c r="J19" s="18" t="s">
        <v>22</v>
      </c>
      <c r="K19" s="44"/>
      <c r="L19" s="44"/>
      <c r="M19" s="44"/>
      <c r="N19" s="44"/>
    </row>
    <row r="20" spans="1:14" x14ac:dyDescent="0.25">
      <c r="A20" s="44" t="s">
        <v>255</v>
      </c>
      <c r="B20" s="108"/>
      <c r="C20" s="108"/>
      <c r="D20" s="113"/>
      <c r="E20" s="52" t="s">
        <v>256</v>
      </c>
      <c r="F20" s="52" t="s">
        <v>257</v>
      </c>
      <c r="G20" s="18" t="s">
        <v>26</v>
      </c>
      <c r="H20" s="52" t="s">
        <v>258</v>
      </c>
      <c r="I20" s="18" t="s">
        <v>55</v>
      </c>
      <c r="J20" s="18" t="s">
        <v>55</v>
      </c>
      <c r="K20" s="44"/>
      <c r="L20" s="44"/>
      <c r="M20" s="44"/>
      <c r="N20" s="44"/>
    </row>
    <row r="21" spans="1:14" x14ac:dyDescent="0.25">
      <c r="A21" s="44" t="s">
        <v>259</v>
      </c>
      <c r="B21" s="108"/>
      <c r="C21" s="108"/>
      <c r="D21" s="113"/>
      <c r="E21" s="52" t="s">
        <v>260</v>
      </c>
      <c r="F21" s="52" t="s">
        <v>261</v>
      </c>
      <c r="G21" s="18" t="s">
        <v>26</v>
      </c>
      <c r="H21" s="52" t="s">
        <v>262</v>
      </c>
      <c r="I21" s="18" t="s">
        <v>22</v>
      </c>
      <c r="J21" s="18" t="s">
        <v>22</v>
      </c>
      <c r="K21" s="44"/>
      <c r="L21" s="44"/>
      <c r="M21" s="44"/>
      <c r="N21" s="44"/>
    </row>
    <row r="22" spans="1:14" x14ac:dyDescent="0.25">
      <c r="A22" s="44" t="s">
        <v>263</v>
      </c>
      <c r="B22" s="108"/>
      <c r="C22" s="108"/>
      <c r="D22" s="113"/>
      <c r="E22" s="52" t="s">
        <v>264</v>
      </c>
      <c r="F22" s="52" t="s">
        <v>265</v>
      </c>
      <c r="G22" s="18" t="s">
        <v>20</v>
      </c>
      <c r="H22" s="54" t="s">
        <v>266</v>
      </c>
      <c r="I22" s="18" t="s">
        <v>22</v>
      </c>
      <c r="J22" s="18" t="s">
        <v>22</v>
      </c>
      <c r="K22" s="44"/>
      <c r="L22" s="44"/>
      <c r="M22" s="44"/>
      <c r="N22" s="44"/>
    </row>
    <row r="23" spans="1:14" x14ac:dyDescent="0.25">
      <c r="A23" s="44" t="s">
        <v>267</v>
      </c>
      <c r="B23" s="108"/>
      <c r="C23" s="108"/>
      <c r="D23" s="113"/>
      <c r="E23" s="52" t="s">
        <v>268</v>
      </c>
      <c r="F23" s="52" t="s">
        <v>269</v>
      </c>
      <c r="G23" s="18" t="s">
        <v>20</v>
      </c>
      <c r="H23" s="52" t="s">
        <v>270</v>
      </c>
      <c r="I23" s="18" t="s">
        <v>22</v>
      </c>
      <c r="J23" s="18" t="s">
        <v>22</v>
      </c>
      <c r="K23" s="44"/>
      <c r="L23" s="44"/>
      <c r="M23" s="44"/>
      <c r="N23" s="44"/>
    </row>
    <row r="24" spans="1:14" ht="25" x14ac:dyDescent="0.25">
      <c r="A24" s="44" t="s">
        <v>271</v>
      </c>
      <c r="B24" s="108" t="s">
        <v>272</v>
      </c>
      <c r="C24" s="52" t="s">
        <v>200</v>
      </c>
      <c r="D24" s="54" t="s">
        <v>273</v>
      </c>
      <c r="E24" s="52"/>
      <c r="F24" s="52"/>
      <c r="G24" s="18" t="s">
        <v>20</v>
      </c>
      <c r="H24" s="52" t="s">
        <v>274</v>
      </c>
      <c r="I24" s="18" t="s">
        <v>22</v>
      </c>
      <c r="J24" s="18" t="s">
        <v>22</v>
      </c>
      <c r="K24" s="44"/>
      <c r="L24" s="44"/>
      <c r="M24" s="44"/>
      <c r="N24" s="44"/>
    </row>
    <row r="25" spans="1:14" x14ac:dyDescent="0.25">
      <c r="A25" s="44" t="s">
        <v>275</v>
      </c>
      <c r="B25" s="108"/>
      <c r="C25" s="52" t="s">
        <v>276</v>
      </c>
      <c r="D25" s="52" t="s">
        <v>277</v>
      </c>
      <c r="E25" s="52" t="s">
        <v>278</v>
      </c>
      <c r="F25" s="52"/>
      <c r="G25" s="18" t="s">
        <v>20</v>
      </c>
      <c r="H25" s="52" t="s">
        <v>279</v>
      </c>
      <c r="I25" s="18" t="s">
        <v>22</v>
      </c>
      <c r="J25" s="18" t="s">
        <v>22</v>
      </c>
      <c r="K25" s="44"/>
      <c r="L25" s="44"/>
      <c r="M25" s="44"/>
      <c r="N25" s="44"/>
    </row>
    <row r="26" spans="1:14" x14ac:dyDescent="0.25">
      <c r="A26" s="44" t="s">
        <v>280</v>
      </c>
      <c r="B26" s="108" t="s">
        <v>281</v>
      </c>
      <c r="C26" s="108" t="s">
        <v>200</v>
      </c>
      <c r="D26" s="112" t="s">
        <v>282</v>
      </c>
      <c r="E26" s="23" t="s">
        <v>283</v>
      </c>
      <c r="F26" s="23" t="s">
        <v>284</v>
      </c>
      <c r="G26" s="18" t="s">
        <v>26</v>
      </c>
      <c r="H26" s="23" t="s">
        <v>285</v>
      </c>
      <c r="I26" s="18" t="s">
        <v>22</v>
      </c>
      <c r="J26" s="18" t="s">
        <v>22</v>
      </c>
      <c r="K26" s="23"/>
      <c r="L26" s="23"/>
      <c r="M26" s="23"/>
      <c r="N26" s="23"/>
    </row>
    <row r="27" spans="1:14" x14ac:dyDescent="0.25">
      <c r="A27" s="44" t="s">
        <v>286</v>
      </c>
      <c r="B27" s="108"/>
      <c r="C27" s="108"/>
      <c r="D27" s="112"/>
      <c r="E27" s="23" t="s">
        <v>287</v>
      </c>
      <c r="F27" s="23" t="s">
        <v>288</v>
      </c>
      <c r="G27" s="18" t="s">
        <v>26</v>
      </c>
      <c r="H27" s="23" t="s">
        <v>289</v>
      </c>
      <c r="I27" s="18" t="s">
        <v>22</v>
      </c>
      <c r="J27" s="18" t="s">
        <v>22</v>
      </c>
      <c r="K27" s="23"/>
      <c r="L27" s="23"/>
      <c r="M27" s="23"/>
      <c r="N27" s="23"/>
    </row>
    <row r="28" spans="1:14" x14ac:dyDescent="0.25">
      <c r="A28" s="44" t="s">
        <v>290</v>
      </c>
      <c r="B28" s="108"/>
      <c r="C28" s="108"/>
      <c r="D28" s="112"/>
      <c r="E28" s="23" t="s">
        <v>291</v>
      </c>
      <c r="F28" s="23" t="s">
        <v>292</v>
      </c>
      <c r="G28" s="18" t="s">
        <v>26</v>
      </c>
      <c r="H28" s="23" t="s">
        <v>293</v>
      </c>
      <c r="I28" s="18" t="s">
        <v>55</v>
      </c>
      <c r="J28" s="18" t="s">
        <v>55</v>
      </c>
      <c r="K28" s="23"/>
      <c r="L28" s="23"/>
      <c r="M28" s="23"/>
      <c r="N28" s="23"/>
    </row>
    <row r="29" spans="1:14" x14ac:dyDescent="0.25">
      <c r="A29" s="44" t="s">
        <v>294</v>
      </c>
      <c r="B29" s="108"/>
      <c r="C29" s="108"/>
      <c r="D29" s="112"/>
      <c r="E29" s="23" t="s">
        <v>295</v>
      </c>
      <c r="F29" s="23" t="s">
        <v>296</v>
      </c>
      <c r="G29" s="18" t="s">
        <v>31</v>
      </c>
      <c r="H29" s="23" t="s">
        <v>297</v>
      </c>
      <c r="I29" s="18" t="s">
        <v>22</v>
      </c>
      <c r="J29" s="18" t="s">
        <v>22</v>
      </c>
      <c r="K29" s="23"/>
      <c r="L29" s="23"/>
      <c r="M29" s="23"/>
      <c r="N29" s="23"/>
    </row>
    <row r="30" spans="1:14" x14ac:dyDescent="0.25">
      <c r="A30" s="44" t="s">
        <v>298</v>
      </c>
      <c r="B30" s="108"/>
      <c r="C30" s="108"/>
      <c r="D30" s="112"/>
      <c r="E30" s="23" t="s">
        <v>299</v>
      </c>
      <c r="F30" s="23" t="s">
        <v>300</v>
      </c>
      <c r="G30" s="18" t="s">
        <v>31</v>
      </c>
      <c r="H30" s="23" t="s">
        <v>297</v>
      </c>
      <c r="I30" s="18" t="s">
        <v>22</v>
      </c>
      <c r="J30" s="18" t="s">
        <v>22</v>
      </c>
      <c r="K30" s="23"/>
      <c r="L30" s="23"/>
      <c r="M30" s="23"/>
      <c r="N30" s="23"/>
    </row>
    <row r="31" spans="1:14" x14ac:dyDescent="0.25">
      <c r="A31" s="44" t="s">
        <v>301</v>
      </c>
      <c r="B31" s="108"/>
      <c r="C31" s="108"/>
      <c r="D31" s="112"/>
      <c r="E31" s="23" t="s">
        <v>302</v>
      </c>
      <c r="F31" s="23" t="s">
        <v>303</v>
      </c>
      <c r="G31" s="18" t="s">
        <v>26</v>
      </c>
      <c r="H31" s="23" t="s">
        <v>304</v>
      </c>
      <c r="I31" s="18" t="s">
        <v>55</v>
      </c>
      <c r="J31" s="18" t="s">
        <v>55</v>
      </c>
      <c r="K31" s="23"/>
      <c r="L31" s="23"/>
      <c r="M31" s="23"/>
      <c r="N31" s="23"/>
    </row>
    <row r="32" spans="1:14" x14ac:dyDescent="0.25">
      <c r="A32" s="44" t="s">
        <v>305</v>
      </c>
      <c r="B32" s="108"/>
      <c r="C32" s="108"/>
      <c r="D32" s="112"/>
      <c r="E32" s="23" t="s">
        <v>306</v>
      </c>
      <c r="F32" s="23" t="s">
        <v>307</v>
      </c>
      <c r="G32" s="18" t="s">
        <v>26</v>
      </c>
      <c r="H32" s="23" t="s">
        <v>308</v>
      </c>
      <c r="I32" s="18" t="s">
        <v>22</v>
      </c>
      <c r="J32" s="18" t="s">
        <v>22</v>
      </c>
      <c r="K32" s="23"/>
      <c r="L32" s="23"/>
      <c r="M32" s="23"/>
      <c r="N32" s="23"/>
    </row>
    <row r="33" spans="1:14" x14ac:dyDescent="0.25">
      <c r="A33" s="44" t="s">
        <v>309</v>
      </c>
      <c r="B33" s="108"/>
      <c r="C33" s="108"/>
      <c r="D33" s="112"/>
      <c r="E33" s="23" t="s">
        <v>310</v>
      </c>
      <c r="F33" s="23" t="s">
        <v>206</v>
      </c>
      <c r="G33" s="18" t="s">
        <v>26</v>
      </c>
      <c r="H33" s="23" t="s">
        <v>311</v>
      </c>
      <c r="I33" s="18" t="s">
        <v>22</v>
      </c>
      <c r="J33" s="18" t="s">
        <v>22</v>
      </c>
      <c r="K33" s="23"/>
      <c r="L33" s="23"/>
      <c r="M33" s="23"/>
      <c r="N33" s="23"/>
    </row>
    <row r="34" spans="1:14" x14ac:dyDescent="0.25">
      <c r="A34" s="44" t="s">
        <v>312</v>
      </c>
      <c r="B34" s="108"/>
      <c r="C34" s="108"/>
      <c r="D34" s="112"/>
      <c r="E34" s="23" t="s">
        <v>313</v>
      </c>
      <c r="F34" s="23" t="s">
        <v>314</v>
      </c>
      <c r="G34" s="18" t="s">
        <v>26</v>
      </c>
      <c r="H34" s="23" t="s">
        <v>315</v>
      </c>
      <c r="I34" s="18" t="s">
        <v>22</v>
      </c>
      <c r="J34" s="18" t="s">
        <v>22</v>
      </c>
      <c r="K34" s="28"/>
      <c r="L34" s="28"/>
      <c r="M34" s="28"/>
      <c r="N34" s="23"/>
    </row>
    <row r="35" spans="1:14" x14ac:dyDescent="0.25">
      <c r="A35" s="44" t="s">
        <v>316</v>
      </c>
      <c r="B35" s="108" t="s">
        <v>317</v>
      </c>
      <c r="C35" s="108" t="s">
        <v>318</v>
      </c>
      <c r="D35" s="112" t="s">
        <v>319</v>
      </c>
      <c r="E35" s="23" t="s">
        <v>320</v>
      </c>
      <c r="F35" s="23" t="s">
        <v>321</v>
      </c>
      <c r="G35" s="18" t="s">
        <v>20</v>
      </c>
      <c r="H35" s="23" t="s">
        <v>322</v>
      </c>
      <c r="I35" s="18" t="s">
        <v>22</v>
      </c>
      <c r="J35" s="18" t="s">
        <v>22</v>
      </c>
      <c r="K35" s="28"/>
      <c r="L35" s="28"/>
      <c r="M35" s="28"/>
      <c r="N35" s="23"/>
    </row>
    <row r="36" spans="1:14" x14ac:dyDescent="0.25">
      <c r="A36" s="44" t="s">
        <v>323</v>
      </c>
      <c r="B36" s="108"/>
      <c r="C36" s="108"/>
      <c r="D36" s="112"/>
      <c r="E36" s="23" t="s">
        <v>324</v>
      </c>
      <c r="F36" s="23" t="s">
        <v>325</v>
      </c>
      <c r="G36" s="18" t="s">
        <v>20</v>
      </c>
      <c r="H36" s="23" t="s">
        <v>326</v>
      </c>
      <c r="I36" s="18" t="s">
        <v>22</v>
      </c>
      <c r="J36" s="18" t="s">
        <v>22</v>
      </c>
      <c r="K36" s="28"/>
      <c r="L36" s="28"/>
      <c r="M36" s="28"/>
      <c r="N36" s="23"/>
    </row>
    <row r="37" spans="1:14" x14ac:dyDescent="0.25">
      <c r="A37" s="44" t="s">
        <v>327</v>
      </c>
      <c r="B37" s="108"/>
      <c r="C37" s="108"/>
      <c r="D37" s="112"/>
      <c r="E37" s="23" t="s">
        <v>328</v>
      </c>
      <c r="F37" s="23" t="s">
        <v>203</v>
      </c>
      <c r="G37" s="18" t="s">
        <v>20</v>
      </c>
      <c r="H37" s="23" t="s">
        <v>329</v>
      </c>
      <c r="I37" s="18" t="s">
        <v>22</v>
      </c>
      <c r="J37" s="18" t="s">
        <v>22</v>
      </c>
      <c r="K37" s="28"/>
      <c r="L37" s="28"/>
      <c r="M37" s="28"/>
      <c r="N37" s="23"/>
    </row>
    <row r="38" spans="1:14" x14ac:dyDescent="0.25">
      <c r="A38" s="44" t="s">
        <v>330</v>
      </c>
      <c r="B38" s="108" t="s">
        <v>331</v>
      </c>
      <c r="C38" s="108" t="s">
        <v>332</v>
      </c>
      <c r="D38" s="109" t="s">
        <v>333</v>
      </c>
      <c r="E38" s="61" t="s">
        <v>334</v>
      </c>
      <c r="F38" s="28"/>
      <c r="G38" s="18" t="s">
        <v>31</v>
      </c>
      <c r="H38" s="56" t="s">
        <v>335</v>
      </c>
      <c r="I38" s="18" t="s">
        <v>22</v>
      </c>
      <c r="J38" s="18" t="s">
        <v>22</v>
      </c>
      <c r="K38" s="28"/>
      <c r="L38" s="28"/>
      <c r="M38" s="28"/>
      <c r="N38" s="23"/>
    </row>
    <row r="39" spans="1:14" x14ac:dyDescent="0.25">
      <c r="A39" s="44" t="s">
        <v>336</v>
      </c>
      <c r="B39" s="108"/>
      <c r="C39" s="108"/>
      <c r="D39" s="109"/>
      <c r="E39" s="61" t="s">
        <v>337</v>
      </c>
      <c r="F39" s="55"/>
      <c r="G39" s="18" t="s">
        <v>26</v>
      </c>
      <c r="H39" s="56" t="s">
        <v>338</v>
      </c>
      <c r="I39" s="18" t="s">
        <v>22</v>
      </c>
      <c r="J39" s="18" t="s">
        <v>22</v>
      </c>
      <c r="K39" s="28"/>
      <c r="L39" s="28"/>
      <c r="M39" s="28"/>
      <c r="N39" s="23"/>
    </row>
    <row r="40" spans="1:14" x14ac:dyDescent="0.25">
      <c r="A40" s="44" t="s">
        <v>339</v>
      </c>
      <c r="B40" s="108"/>
      <c r="C40" s="108"/>
      <c r="D40" s="109"/>
      <c r="E40" s="61" t="s">
        <v>340</v>
      </c>
      <c r="F40" s="55"/>
      <c r="G40" s="18" t="s">
        <v>26</v>
      </c>
      <c r="H40" s="56" t="s">
        <v>338</v>
      </c>
      <c r="I40" s="18" t="s">
        <v>22</v>
      </c>
      <c r="J40" s="18" t="s">
        <v>22</v>
      </c>
      <c r="K40" s="28"/>
      <c r="L40" s="28"/>
      <c r="M40" s="28"/>
      <c r="N40" s="23"/>
    </row>
    <row r="41" spans="1:14" x14ac:dyDescent="0.25">
      <c r="A41" s="44" t="s">
        <v>341</v>
      </c>
      <c r="B41" s="107" t="s">
        <v>342</v>
      </c>
      <c r="C41" s="107" t="s">
        <v>276</v>
      </c>
      <c r="D41" s="85" t="s">
        <v>333</v>
      </c>
      <c r="E41" s="61" t="s">
        <v>334</v>
      </c>
      <c r="F41" s="23"/>
      <c r="G41" s="18" t="s">
        <v>20</v>
      </c>
      <c r="H41" s="56" t="s">
        <v>343</v>
      </c>
      <c r="I41" s="18" t="s">
        <v>22</v>
      </c>
      <c r="J41" s="18" t="s">
        <v>22</v>
      </c>
      <c r="K41" s="28"/>
      <c r="L41" s="28"/>
      <c r="M41" s="28"/>
      <c r="N41" s="28"/>
    </row>
    <row r="42" spans="1:14" x14ac:dyDescent="0.25">
      <c r="A42" s="44" t="s">
        <v>344</v>
      </c>
      <c r="B42" s="107"/>
      <c r="C42" s="107"/>
      <c r="D42" s="85"/>
      <c r="E42" s="61" t="s">
        <v>345</v>
      </c>
      <c r="F42" s="23"/>
      <c r="G42" s="18" t="s">
        <v>20</v>
      </c>
      <c r="H42" s="56" t="s">
        <v>346</v>
      </c>
      <c r="I42" s="18" t="s">
        <v>22</v>
      </c>
      <c r="J42" s="18" t="s">
        <v>22</v>
      </c>
      <c r="K42" s="28"/>
      <c r="L42" s="28"/>
      <c r="M42" s="28"/>
      <c r="N42" s="28"/>
    </row>
    <row r="43" spans="1:14" x14ac:dyDescent="0.25">
      <c r="A43" s="44" t="s">
        <v>347</v>
      </c>
      <c r="B43" s="107" t="s">
        <v>348</v>
      </c>
      <c r="C43" s="107" t="s">
        <v>250</v>
      </c>
      <c r="D43" s="85" t="s">
        <v>349</v>
      </c>
      <c r="E43" s="56" t="s">
        <v>350</v>
      </c>
      <c r="F43" s="56" t="s">
        <v>351</v>
      </c>
      <c r="G43" s="18" t="s">
        <v>26</v>
      </c>
      <c r="H43" s="56" t="s">
        <v>352</v>
      </c>
      <c r="I43" s="18" t="s">
        <v>55</v>
      </c>
      <c r="J43" s="18" t="s">
        <v>55</v>
      </c>
      <c r="K43" s="28"/>
      <c r="L43" s="28"/>
      <c r="M43" s="28"/>
      <c r="N43" s="28"/>
    </row>
    <row r="44" spans="1:14" x14ac:dyDescent="0.25">
      <c r="A44" s="44" t="s">
        <v>353</v>
      </c>
      <c r="B44" s="107"/>
      <c r="C44" s="107"/>
      <c r="D44" s="85"/>
      <c r="E44" s="56" t="s">
        <v>354</v>
      </c>
      <c r="F44" s="56" t="s">
        <v>355</v>
      </c>
      <c r="G44" s="18" t="s">
        <v>26</v>
      </c>
      <c r="H44" s="56" t="s">
        <v>356</v>
      </c>
      <c r="I44" s="18" t="s">
        <v>55</v>
      </c>
      <c r="J44" s="18" t="s">
        <v>55</v>
      </c>
      <c r="K44" s="28"/>
      <c r="L44" s="28"/>
      <c r="M44" s="28"/>
      <c r="N44" s="28"/>
    </row>
    <row r="45" spans="1:14" x14ac:dyDescent="0.25">
      <c r="A45" s="44" t="s">
        <v>357</v>
      </c>
      <c r="B45" s="107"/>
      <c r="C45" s="107"/>
      <c r="D45" s="85"/>
      <c r="E45" s="56" t="s">
        <v>358</v>
      </c>
      <c r="F45" s="56" t="s">
        <v>359</v>
      </c>
      <c r="G45" s="18" t="s">
        <v>20</v>
      </c>
      <c r="H45" s="56" t="s">
        <v>360</v>
      </c>
      <c r="I45" s="18" t="s">
        <v>22</v>
      </c>
      <c r="J45" s="18" t="s">
        <v>22</v>
      </c>
      <c r="K45" s="28"/>
      <c r="L45" s="28"/>
      <c r="M45" s="28"/>
      <c r="N45" s="28"/>
    </row>
    <row r="46" spans="1:14" x14ac:dyDescent="0.25">
      <c r="A46" s="44" t="s">
        <v>361</v>
      </c>
      <c r="B46" s="107"/>
      <c r="C46" s="107"/>
      <c r="D46" s="85"/>
      <c r="E46" s="56" t="s">
        <v>362</v>
      </c>
      <c r="F46" s="56" t="s">
        <v>363</v>
      </c>
      <c r="G46" s="18" t="s">
        <v>20</v>
      </c>
      <c r="H46" s="56" t="s">
        <v>364</v>
      </c>
      <c r="I46" s="18" t="s">
        <v>22</v>
      </c>
      <c r="J46" s="18" t="s">
        <v>22</v>
      </c>
      <c r="K46" s="23"/>
      <c r="L46" s="23"/>
      <c r="M46" s="23"/>
      <c r="N46" s="23"/>
    </row>
    <row r="47" spans="1:14" x14ac:dyDescent="0.25">
      <c r="A47" s="44" t="s">
        <v>365</v>
      </c>
      <c r="B47" s="107"/>
      <c r="C47" s="107"/>
      <c r="D47" s="85"/>
      <c r="E47" s="56" t="s">
        <v>366</v>
      </c>
      <c r="F47" s="56" t="s">
        <v>367</v>
      </c>
      <c r="G47" s="18" t="s">
        <v>26</v>
      </c>
      <c r="H47" s="56" t="s">
        <v>368</v>
      </c>
      <c r="I47" s="18" t="s">
        <v>22</v>
      </c>
      <c r="J47" s="18" t="s">
        <v>22</v>
      </c>
      <c r="K47" s="23"/>
      <c r="L47" s="23"/>
      <c r="M47" s="23"/>
      <c r="N47" s="23"/>
    </row>
    <row r="48" spans="1:14" x14ac:dyDescent="0.25">
      <c r="A48" s="44" t="s">
        <v>369</v>
      </c>
      <c r="B48" s="107"/>
      <c r="C48" s="107"/>
      <c r="D48" s="85"/>
      <c r="E48" s="56" t="s">
        <v>370</v>
      </c>
      <c r="F48" s="56" t="s">
        <v>371</v>
      </c>
      <c r="G48" s="18" t="s">
        <v>26</v>
      </c>
      <c r="H48" s="56" t="s">
        <v>368</v>
      </c>
      <c r="I48" s="18" t="s">
        <v>22</v>
      </c>
      <c r="J48" s="18" t="s">
        <v>22</v>
      </c>
      <c r="K48" s="23"/>
      <c r="L48" s="23"/>
      <c r="M48" s="23"/>
      <c r="N48" s="23"/>
    </row>
    <row r="49" spans="1:14" x14ac:dyDescent="0.25">
      <c r="A49" s="44" t="s">
        <v>372</v>
      </c>
      <c r="B49" s="107"/>
      <c r="C49" s="107"/>
      <c r="D49" s="85"/>
      <c r="E49" s="56" t="s">
        <v>373</v>
      </c>
      <c r="F49" s="56" t="s">
        <v>374</v>
      </c>
      <c r="G49" s="18" t="s">
        <v>20</v>
      </c>
      <c r="H49" s="56" t="s">
        <v>375</v>
      </c>
      <c r="I49" s="18" t="s">
        <v>22</v>
      </c>
      <c r="J49" s="18" t="s">
        <v>22</v>
      </c>
      <c r="K49" s="23"/>
      <c r="L49" s="23"/>
      <c r="M49" s="23"/>
      <c r="N49" s="23"/>
    </row>
    <row r="50" spans="1:14" x14ac:dyDescent="0.25">
      <c r="A50" s="44" t="s">
        <v>376</v>
      </c>
      <c r="B50" s="107"/>
      <c r="C50" s="107"/>
      <c r="D50" s="85"/>
      <c r="E50" s="56" t="s">
        <v>377</v>
      </c>
      <c r="F50" s="56" t="s">
        <v>378</v>
      </c>
      <c r="G50" s="18" t="s">
        <v>20</v>
      </c>
      <c r="H50" s="56" t="s">
        <v>379</v>
      </c>
      <c r="I50" s="18" t="s">
        <v>55</v>
      </c>
      <c r="J50" s="18" t="s">
        <v>55</v>
      </c>
      <c r="K50" s="23"/>
      <c r="L50" s="23"/>
      <c r="M50" s="23"/>
      <c r="N50" s="23"/>
    </row>
    <row r="51" spans="1:14" x14ac:dyDescent="0.25">
      <c r="A51" s="44" t="s">
        <v>380</v>
      </c>
      <c r="B51" s="107"/>
      <c r="C51" s="107"/>
      <c r="D51" s="85"/>
      <c r="E51" s="56" t="s">
        <v>381</v>
      </c>
      <c r="F51" s="56" t="s">
        <v>382</v>
      </c>
      <c r="G51" s="18" t="s">
        <v>20</v>
      </c>
      <c r="H51" s="56" t="s">
        <v>383</v>
      </c>
      <c r="I51" s="18" t="s">
        <v>22</v>
      </c>
      <c r="J51" s="18" t="s">
        <v>22</v>
      </c>
      <c r="K51" s="23"/>
      <c r="L51" s="23"/>
      <c r="M51" s="23"/>
      <c r="N51" s="23"/>
    </row>
    <row r="52" spans="1:14" x14ac:dyDescent="0.25">
      <c r="A52" s="44" t="s">
        <v>384</v>
      </c>
      <c r="B52" s="107"/>
      <c r="C52" s="107"/>
      <c r="D52" s="85"/>
      <c r="E52" s="56" t="s">
        <v>385</v>
      </c>
      <c r="F52" s="56" t="s">
        <v>386</v>
      </c>
      <c r="G52" s="18" t="s">
        <v>20</v>
      </c>
      <c r="H52" s="56" t="s">
        <v>387</v>
      </c>
      <c r="I52" s="18" t="s">
        <v>22</v>
      </c>
      <c r="J52" s="18" t="s">
        <v>22</v>
      </c>
      <c r="K52" s="23"/>
      <c r="L52" s="23"/>
      <c r="M52" s="23"/>
      <c r="N52" s="23"/>
    </row>
    <row r="53" spans="1:14" x14ac:dyDescent="0.25">
      <c r="A53" s="44" t="s">
        <v>388</v>
      </c>
      <c r="B53" s="107" t="s">
        <v>389</v>
      </c>
      <c r="C53" s="107" t="s">
        <v>390</v>
      </c>
      <c r="D53" s="107" t="s">
        <v>391</v>
      </c>
      <c r="E53" s="56" t="s">
        <v>392</v>
      </c>
      <c r="F53" s="23"/>
      <c r="G53" s="18" t="s">
        <v>20</v>
      </c>
      <c r="H53" s="56" t="s">
        <v>393</v>
      </c>
      <c r="I53" s="18" t="s">
        <v>22</v>
      </c>
      <c r="J53" s="18" t="s">
        <v>22</v>
      </c>
      <c r="K53" s="23"/>
      <c r="L53" s="23"/>
      <c r="M53" s="23"/>
      <c r="N53" s="23"/>
    </row>
    <row r="54" spans="1:14" x14ac:dyDescent="0.25">
      <c r="A54" s="44" t="s">
        <v>394</v>
      </c>
      <c r="B54" s="107"/>
      <c r="C54" s="107"/>
      <c r="D54" s="107"/>
      <c r="E54" s="56" t="s">
        <v>395</v>
      </c>
      <c r="F54" s="23"/>
      <c r="G54" s="18" t="s">
        <v>20</v>
      </c>
      <c r="H54" s="56" t="s">
        <v>396</v>
      </c>
      <c r="I54" s="18" t="s">
        <v>22</v>
      </c>
      <c r="J54" s="18" t="s">
        <v>22</v>
      </c>
      <c r="K54" s="23"/>
      <c r="L54" s="23"/>
      <c r="M54" s="23"/>
      <c r="N54" s="23"/>
    </row>
    <row r="55" spans="1:14" x14ac:dyDescent="0.25">
      <c r="A55" s="44" t="s">
        <v>397</v>
      </c>
      <c r="B55" s="107"/>
      <c r="C55" s="107"/>
      <c r="D55" s="107"/>
      <c r="E55" s="56" t="s">
        <v>398</v>
      </c>
      <c r="F55" s="23"/>
      <c r="G55" s="18" t="s">
        <v>20</v>
      </c>
      <c r="H55" s="56" t="s">
        <v>399</v>
      </c>
      <c r="I55" s="18" t="s">
        <v>22</v>
      </c>
      <c r="J55" s="18" t="s">
        <v>22</v>
      </c>
      <c r="K55" s="23"/>
      <c r="L55" s="23"/>
      <c r="M55" s="23"/>
      <c r="N55" s="23"/>
    </row>
    <row r="56" spans="1:14" x14ac:dyDescent="0.25">
      <c r="A56" s="44" t="s">
        <v>400</v>
      </c>
      <c r="B56" s="107"/>
      <c r="C56" s="107"/>
      <c r="D56" s="107"/>
      <c r="E56" s="56" t="s">
        <v>401</v>
      </c>
      <c r="F56" s="23"/>
      <c r="G56" s="18" t="s">
        <v>20</v>
      </c>
      <c r="H56" s="56" t="s">
        <v>402</v>
      </c>
      <c r="I56" s="18" t="s">
        <v>22</v>
      </c>
      <c r="J56" s="18" t="s">
        <v>22</v>
      </c>
      <c r="K56" s="23"/>
      <c r="L56" s="23"/>
      <c r="M56" s="23"/>
      <c r="N56" s="23"/>
    </row>
    <row r="57" spans="1:14" x14ac:dyDescent="0.25">
      <c r="A57" s="44" t="s">
        <v>403</v>
      </c>
      <c r="B57" s="107"/>
      <c r="C57" s="107"/>
      <c r="D57" s="107"/>
      <c r="E57" s="56" t="s">
        <v>404</v>
      </c>
      <c r="F57" s="23"/>
      <c r="G57" s="18" t="s">
        <v>26</v>
      </c>
      <c r="H57" s="56" t="s">
        <v>405</v>
      </c>
      <c r="I57" s="18" t="s">
        <v>22</v>
      </c>
      <c r="J57" s="18" t="s">
        <v>22</v>
      </c>
      <c r="K57" s="23"/>
      <c r="L57" s="23"/>
      <c r="M57" s="23"/>
      <c r="N57" s="23"/>
    </row>
    <row r="58" spans="1:14" x14ac:dyDescent="0.25">
      <c r="A58" s="44" t="s">
        <v>406</v>
      </c>
      <c r="B58" s="107"/>
      <c r="C58" s="107"/>
      <c r="D58" s="107"/>
      <c r="E58" s="56" t="s">
        <v>407</v>
      </c>
      <c r="F58" s="23"/>
      <c r="G58" s="18" t="s">
        <v>20</v>
      </c>
      <c r="H58" s="56" t="s">
        <v>408</v>
      </c>
      <c r="I58" s="18" t="s">
        <v>22</v>
      </c>
      <c r="J58" s="18" t="s">
        <v>22</v>
      </c>
      <c r="K58" s="23"/>
      <c r="L58" s="23"/>
      <c r="M58" s="23"/>
      <c r="N58" s="23"/>
    </row>
    <row r="59" spans="1:14" x14ac:dyDescent="0.25">
      <c r="A59" s="44" t="s">
        <v>409</v>
      </c>
      <c r="B59" s="107"/>
      <c r="C59" s="107"/>
      <c r="D59" s="107"/>
      <c r="E59" s="56" t="s">
        <v>410</v>
      </c>
      <c r="F59" s="23"/>
      <c r="G59" s="18" t="s">
        <v>20</v>
      </c>
      <c r="H59" s="56" t="s">
        <v>411</v>
      </c>
      <c r="I59" s="18" t="s">
        <v>22</v>
      </c>
      <c r="J59" s="18" t="s">
        <v>22</v>
      </c>
      <c r="K59" s="23"/>
      <c r="L59" s="23"/>
      <c r="M59" s="23"/>
      <c r="N59" s="23"/>
    </row>
    <row r="60" spans="1:14" x14ac:dyDescent="0.25">
      <c r="A60" s="44" t="s">
        <v>412</v>
      </c>
      <c r="B60" s="107"/>
      <c r="C60" s="107"/>
      <c r="D60" s="107"/>
      <c r="E60" s="56" t="s">
        <v>413</v>
      </c>
      <c r="F60" s="23"/>
      <c r="G60" s="18" t="s">
        <v>20</v>
      </c>
      <c r="H60" s="56" t="s">
        <v>414</v>
      </c>
      <c r="I60" s="18" t="s">
        <v>22</v>
      </c>
      <c r="J60" s="18" t="s">
        <v>22</v>
      </c>
      <c r="K60" s="23"/>
      <c r="L60" s="23"/>
      <c r="M60" s="23"/>
      <c r="N60" s="23"/>
    </row>
    <row r="61" spans="1:14" x14ac:dyDescent="0.25">
      <c r="A61" s="44" t="s">
        <v>415</v>
      </c>
      <c r="B61" s="107"/>
      <c r="C61" s="107"/>
      <c r="D61" s="107"/>
      <c r="E61" s="56" t="s">
        <v>416</v>
      </c>
      <c r="F61" s="23"/>
      <c r="G61" s="18" t="s">
        <v>20</v>
      </c>
      <c r="H61" s="56" t="s">
        <v>417</v>
      </c>
      <c r="I61" s="18" t="s">
        <v>22</v>
      </c>
      <c r="J61" s="18" t="s">
        <v>22</v>
      </c>
      <c r="K61" s="23"/>
      <c r="L61" s="23"/>
      <c r="M61" s="23"/>
      <c r="N61" s="23"/>
    </row>
    <row r="62" spans="1:14" x14ac:dyDescent="0.25">
      <c r="A62" s="44" t="s">
        <v>418</v>
      </c>
      <c r="B62" s="107"/>
      <c r="C62" s="107"/>
      <c r="D62" s="107"/>
      <c r="E62" s="56" t="s">
        <v>419</v>
      </c>
      <c r="F62" s="23"/>
      <c r="G62" s="18" t="s">
        <v>26</v>
      </c>
      <c r="H62" s="56" t="s">
        <v>420</v>
      </c>
      <c r="I62" s="18" t="s">
        <v>55</v>
      </c>
      <c r="J62" s="18" t="s">
        <v>55</v>
      </c>
      <c r="K62" s="23"/>
      <c r="L62" s="23"/>
      <c r="M62" s="23"/>
      <c r="N62" s="23"/>
    </row>
    <row r="63" spans="1:14" x14ac:dyDescent="0.25">
      <c r="A63" s="44" t="s">
        <v>421</v>
      </c>
      <c r="B63" s="107"/>
      <c r="C63" s="107"/>
      <c r="D63" s="107"/>
      <c r="E63" s="56" t="s">
        <v>422</v>
      </c>
      <c r="F63" s="23"/>
      <c r="G63" s="18" t="s">
        <v>20</v>
      </c>
      <c r="H63" s="56" t="s">
        <v>423</v>
      </c>
      <c r="I63" s="18" t="s">
        <v>22</v>
      </c>
      <c r="J63" s="18" t="s">
        <v>22</v>
      </c>
      <c r="K63" s="23"/>
      <c r="L63" s="23"/>
      <c r="M63" s="23"/>
      <c r="N63" s="23"/>
    </row>
    <row r="64" spans="1:14" x14ac:dyDescent="0.25">
      <c r="A64" s="44" t="s">
        <v>424</v>
      </c>
      <c r="B64" s="107"/>
      <c r="C64" s="107"/>
      <c r="D64" s="107"/>
      <c r="E64" s="56" t="s">
        <v>425</v>
      </c>
      <c r="F64" s="23"/>
      <c r="G64" s="18" t="s">
        <v>20</v>
      </c>
      <c r="H64" s="56" t="s">
        <v>426</v>
      </c>
      <c r="I64" s="18" t="s">
        <v>22</v>
      </c>
      <c r="J64" s="18" t="s">
        <v>22</v>
      </c>
      <c r="K64" s="23"/>
      <c r="L64" s="23"/>
      <c r="M64" s="23"/>
      <c r="N64" s="23"/>
    </row>
    <row r="65" spans="1:14" x14ac:dyDescent="0.25">
      <c r="A65" s="44" t="s">
        <v>427</v>
      </c>
      <c r="B65" s="107"/>
      <c r="C65" s="107"/>
      <c r="D65" s="107"/>
      <c r="E65" s="56" t="s">
        <v>428</v>
      </c>
      <c r="F65" s="23"/>
      <c r="G65" s="18" t="s">
        <v>26</v>
      </c>
      <c r="H65" s="56" t="s">
        <v>429</v>
      </c>
      <c r="I65" s="18" t="s">
        <v>22</v>
      </c>
      <c r="J65" s="18" t="s">
        <v>22</v>
      </c>
      <c r="K65" s="23"/>
      <c r="L65" s="23"/>
      <c r="M65" s="23"/>
      <c r="N65" s="23"/>
    </row>
    <row r="66" spans="1:14" x14ac:dyDescent="0.25">
      <c r="A66" s="44" t="s">
        <v>430</v>
      </c>
      <c r="B66" s="107"/>
      <c r="C66" s="107"/>
      <c r="D66" s="107"/>
      <c r="E66" s="56" t="s">
        <v>431</v>
      </c>
      <c r="F66" s="23"/>
      <c r="G66" s="18" t="s">
        <v>26</v>
      </c>
      <c r="H66" s="56" t="s">
        <v>432</v>
      </c>
      <c r="I66" s="18" t="s">
        <v>22</v>
      </c>
      <c r="J66" s="18" t="s">
        <v>22</v>
      </c>
      <c r="K66" s="23"/>
      <c r="L66" s="23"/>
      <c r="M66" s="23"/>
      <c r="N66" s="23"/>
    </row>
    <row r="67" spans="1:14" x14ac:dyDescent="0.25">
      <c r="A67" s="44" t="s">
        <v>433</v>
      </c>
      <c r="B67" s="107"/>
      <c r="C67" s="107"/>
      <c r="D67" s="107"/>
      <c r="E67" s="56" t="s">
        <v>434</v>
      </c>
      <c r="F67" s="23"/>
      <c r="G67" s="18" t="s">
        <v>20</v>
      </c>
      <c r="H67" s="56" t="s">
        <v>435</v>
      </c>
      <c r="I67" s="18" t="s">
        <v>22</v>
      </c>
      <c r="J67" s="18" t="s">
        <v>22</v>
      </c>
      <c r="K67" s="23"/>
      <c r="L67" s="23"/>
      <c r="M67" s="23"/>
      <c r="N67" s="23"/>
    </row>
    <row r="68" spans="1:14" x14ac:dyDescent="0.25">
      <c r="A68" s="44" t="s">
        <v>436</v>
      </c>
      <c r="B68" s="107"/>
      <c r="C68" s="107"/>
      <c r="D68" s="61" t="s">
        <v>437</v>
      </c>
      <c r="E68" s="56" t="s">
        <v>438</v>
      </c>
      <c r="F68" s="23"/>
      <c r="G68" s="18" t="s">
        <v>20</v>
      </c>
      <c r="H68" s="56" t="s">
        <v>439</v>
      </c>
      <c r="I68" s="18" t="s">
        <v>22</v>
      </c>
      <c r="J68" s="18" t="s">
        <v>22</v>
      </c>
      <c r="K68" s="23"/>
      <c r="L68" s="23"/>
      <c r="M68" s="23"/>
      <c r="N68" s="23"/>
    </row>
    <row r="69" spans="1:14" x14ac:dyDescent="0.25">
      <c r="A69" s="44" t="s">
        <v>440</v>
      </c>
      <c r="B69" s="114" t="s">
        <v>441</v>
      </c>
      <c r="C69" s="114" t="s">
        <v>442</v>
      </c>
      <c r="D69" s="114" t="s">
        <v>443</v>
      </c>
      <c r="E69" s="23" t="s">
        <v>444</v>
      </c>
      <c r="F69" s="23"/>
      <c r="G69" s="18" t="s">
        <v>20</v>
      </c>
      <c r="H69" s="23" t="s">
        <v>445</v>
      </c>
      <c r="I69" s="18" t="s">
        <v>22</v>
      </c>
      <c r="J69" s="18" t="s">
        <v>22</v>
      </c>
      <c r="K69" s="23"/>
      <c r="L69" s="23"/>
      <c r="M69" s="23"/>
      <c r="N69" s="23"/>
    </row>
    <row r="70" spans="1:14" x14ac:dyDescent="0.25">
      <c r="A70" s="44" t="s">
        <v>446</v>
      </c>
      <c r="B70" s="116"/>
      <c r="C70" s="116"/>
      <c r="D70" s="116"/>
      <c r="E70" s="23" t="s">
        <v>447</v>
      </c>
      <c r="F70" s="23"/>
      <c r="G70" s="18" t="s">
        <v>31</v>
      </c>
      <c r="H70" s="23" t="s">
        <v>448</v>
      </c>
      <c r="I70" s="18" t="s">
        <v>50</v>
      </c>
      <c r="J70" s="18" t="s">
        <v>50</v>
      </c>
      <c r="K70" s="23"/>
      <c r="L70" s="23"/>
      <c r="M70" s="23"/>
      <c r="N70" s="23"/>
    </row>
    <row r="71" spans="1:14" x14ac:dyDescent="0.25">
      <c r="A71" s="44" t="s">
        <v>449</v>
      </c>
      <c r="B71" s="114" t="s">
        <v>450</v>
      </c>
      <c r="C71" s="114" t="s">
        <v>451</v>
      </c>
      <c r="D71" s="114" t="s">
        <v>452</v>
      </c>
      <c r="E71" s="23" t="s">
        <v>453</v>
      </c>
      <c r="F71" s="23"/>
      <c r="G71" s="18" t="s">
        <v>20</v>
      </c>
      <c r="H71" s="23" t="s">
        <v>454</v>
      </c>
      <c r="I71" s="18" t="s">
        <v>22</v>
      </c>
      <c r="J71" s="18" t="s">
        <v>22</v>
      </c>
      <c r="K71" s="23"/>
      <c r="L71" s="23"/>
      <c r="M71" s="23"/>
      <c r="N71" s="23"/>
    </row>
    <row r="72" spans="1:14" x14ac:dyDescent="0.25">
      <c r="A72" s="44" t="s">
        <v>455</v>
      </c>
      <c r="B72" s="115"/>
      <c r="C72" s="115"/>
      <c r="D72" s="115"/>
      <c r="E72" s="23" t="s">
        <v>456</v>
      </c>
      <c r="F72" s="23"/>
      <c r="G72" s="18" t="s">
        <v>26</v>
      </c>
      <c r="H72" s="23" t="s">
        <v>457</v>
      </c>
      <c r="I72" s="18" t="s">
        <v>22</v>
      </c>
      <c r="J72" s="18" t="s">
        <v>22</v>
      </c>
      <c r="K72" s="23"/>
      <c r="L72" s="23"/>
      <c r="M72" s="23"/>
      <c r="N72" s="23"/>
    </row>
    <row r="73" spans="1:14" x14ac:dyDescent="0.25">
      <c r="A73" s="44" t="s">
        <v>458</v>
      </c>
      <c r="B73" s="115"/>
      <c r="C73" s="115"/>
      <c r="D73" s="115"/>
      <c r="E73" s="23" t="s">
        <v>459</v>
      </c>
      <c r="F73" s="23"/>
      <c r="G73" s="18" t="s">
        <v>20</v>
      </c>
      <c r="H73" s="23" t="s">
        <v>460</v>
      </c>
      <c r="I73" s="18" t="s">
        <v>22</v>
      </c>
      <c r="J73" s="18" t="s">
        <v>22</v>
      </c>
      <c r="K73" s="23"/>
      <c r="L73" s="23"/>
      <c r="M73" s="23"/>
      <c r="N73" s="23"/>
    </row>
    <row r="74" spans="1:14" x14ac:dyDescent="0.25">
      <c r="A74" s="44" t="s">
        <v>461</v>
      </c>
      <c r="B74" s="116"/>
      <c r="C74" s="116"/>
      <c r="D74" s="116"/>
      <c r="E74" s="23" t="s">
        <v>462</v>
      </c>
      <c r="F74" s="23"/>
      <c r="G74" s="18" t="s">
        <v>26</v>
      </c>
      <c r="H74" s="23" t="s">
        <v>463</v>
      </c>
      <c r="I74" s="18" t="s">
        <v>22</v>
      </c>
      <c r="J74" s="18" t="s">
        <v>22</v>
      </c>
      <c r="K74" s="23"/>
      <c r="L74" s="23"/>
      <c r="M74" s="23"/>
      <c r="N74" s="23"/>
    </row>
    <row r="75" spans="1:14" x14ac:dyDescent="0.25">
      <c r="A75" s="44" t="s">
        <v>464</v>
      </c>
      <c r="B75" s="114" t="s">
        <v>465</v>
      </c>
      <c r="C75" s="114" t="s">
        <v>466</v>
      </c>
      <c r="D75" s="114" t="s">
        <v>467</v>
      </c>
      <c r="E75" s="23" t="s">
        <v>468</v>
      </c>
      <c r="F75" s="23"/>
      <c r="G75" s="18" t="s">
        <v>20</v>
      </c>
      <c r="H75" s="23" t="s">
        <v>469</v>
      </c>
      <c r="I75" s="18" t="s">
        <v>22</v>
      </c>
      <c r="J75" s="18" t="s">
        <v>22</v>
      </c>
      <c r="K75" s="23"/>
      <c r="L75" s="23"/>
      <c r="M75" s="23"/>
      <c r="N75" s="23"/>
    </row>
    <row r="76" spans="1:14" x14ac:dyDescent="0.25">
      <c r="A76" s="44" t="s">
        <v>470</v>
      </c>
      <c r="B76" s="115"/>
      <c r="C76" s="115"/>
      <c r="D76" s="115"/>
      <c r="E76" s="23" t="s">
        <v>471</v>
      </c>
      <c r="F76" s="23"/>
      <c r="G76" s="18" t="s">
        <v>20</v>
      </c>
      <c r="H76" s="23" t="s">
        <v>472</v>
      </c>
      <c r="I76" s="18" t="s">
        <v>22</v>
      </c>
      <c r="J76" s="18" t="s">
        <v>22</v>
      </c>
      <c r="K76" s="23"/>
      <c r="L76" s="23"/>
      <c r="M76" s="23"/>
      <c r="N76" s="23"/>
    </row>
    <row r="77" spans="1:14" x14ac:dyDescent="0.25">
      <c r="A77" s="44" t="s">
        <v>473</v>
      </c>
      <c r="B77" s="115"/>
      <c r="C77" s="115"/>
      <c r="D77" s="115"/>
      <c r="E77" s="23" t="s">
        <v>474</v>
      </c>
      <c r="F77" s="23"/>
      <c r="G77" s="18" t="s">
        <v>26</v>
      </c>
      <c r="H77" s="23" t="s">
        <v>475</v>
      </c>
      <c r="I77" s="18" t="s">
        <v>22</v>
      </c>
      <c r="J77" s="18" t="s">
        <v>22</v>
      </c>
      <c r="K77" s="23"/>
      <c r="L77" s="23"/>
      <c r="M77" s="23"/>
      <c r="N77" s="23"/>
    </row>
    <row r="78" spans="1:14" x14ac:dyDescent="0.25">
      <c r="A78" s="44" t="s">
        <v>476</v>
      </c>
      <c r="B78" s="116"/>
      <c r="C78" s="116"/>
      <c r="D78" s="116"/>
      <c r="E78" s="23" t="s">
        <v>477</v>
      </c>
      <c r="F78" s="23"/>
      <c r="G78" s="18" t="s">
        <v>20</v>
      </c>
      <c r="H78" s="23" t="s">
        <v>478</v>
      </c>
      <c r="I78" s="18" t="s">
        <v>22</v>
      </c>
      <c r="J78" s="18" t="s">
        <v>22</v>
      </c>
      <c r="K78" s="23"/>
      <c r="L78" s="23"/>
      <c r="M78" s="23"/>
      <c r="N78" s="23"/>
    </row>
    <row r="79" spans="1:14" x14ac:dyDescent="0.25">
      <c r="A79" s="44" t="s">
        <v>479</v>
      </c>
      <c r="B79" s="114" t="s">
        <v>480</v>
      </c>
      <c r="C79" s="114" t="s">
        <v>481</v>
      </c>
      <c r="D79" s="58" t="s">
        <v>482</v>
      </c>
      <c r="E79" s="23" t="s">
        <v>483</v>
      </c>
      <c r="F79" s="23"/>
      <c r="G79" s="18" t="s">
        <v>20</v>
      </c>
      <c r="H79" s="23" t="s">
        <v>484</v>
      </c>
      <c r="I79" s="18" t="s">
        <v>22</v>
      </c>
      <c r="J79" s="18" t="s">
        <v>22</v>
      </c>
      <c r="K79" s="23"/>
      <c r="L79" s="23"/>
      <c r="M79" s="23"/>
      <c r="N79" s="23"/>
    </row>
    <row r="80" spans="1:14" x14ac:dyDescent="0.25">
      <c r="A80" s="44" t="s">
        <v>485</v>
      </c>
      <c r="B80" s="115"/>
      <c r="C80" s="115"/>
      <c r="D80" s="114" t="s">
        <v>486</v>
      </c>
      <c r="E80" s="23" t="s">
        <v>487</v>
      </c>
      <c r="F80" s="23"/>
      <c r="G80" s="18" t="s">
        <v>26</v>
      </c>
      <c r="H80" s="23" t="s">
        <v>488</v>
      </c>
      <c r="I80" s="18" t="s">
        <v>55</v>
      </c>
      <c r="J80" s="18" t="s">
        <v>55</v>
      </c>
      <c r="K80" s="23"/>
      <c r="L80" s="23"/>
      <c r="M80" s="23"/>
      <c r="N80" s="23"/>
    </row>
    <row r="81" spans="1:14" x14ac:dyDescent="0.25">
      <c r="A81" s="44" t="s">
        <v>489</v>
      </c>
      <c r="B81" s="115"/>
      <c r="C81" s="115"/>
      <c r="D81" s="115"/>
      <c r="E81" s="23" t="s">
        <v>490</v>
      </c>
      <c r="F81" s="23"/>
      <c r="G81" s="18" t="s">
        <v>26</v>
      </c>
      <c r="H81" s="23" t="s">
        <v>491</v>
      </c>
      <c r="I81" s="18" t="s">
        <v>55</v>
      </c>
      <c r="J81" s="18" t="s">
        <v>55</v>
      </c>
      <c r="K81" s="23"/>
      <c r="L81" s="23"/>
      <c r="M81" s="23"/>
      <c r="N81" s="23"/>
    </row>
    <row r="82" spans="1:14" s="57" customFormat="1" x14ac:dyDescent="0.25">
      <c r="A82" s="44" t="s">
        <v>492</v>
      </c>
      <c r="B82" s="115"/>
      <c r="C82" s="115"/>
      <c r="D82" s="115"/>
      <c r="E82" s="23" t="s">
        <v>493</v>
      </c>
      <c r="F82" s="23"/>
      <c r="G82" s="18" t="s">
        <v>26</v>
      </c>
      <c r="H82" s="23" t="s">
        <v>494</v>
      </c>
      <c r="I82" s="18" t="s">
        <v>55</v>
      </c>
      <c r="J82" s="18" t="s">
        <v>55</v>
      </c>
      <c r="K82" s="23"/>
      <c r="L82" s="23"/>
      <c r="M82" s="23"/>
      <c r="N82" s="23"/>
    </row>
    <row r="83" spans="1:14" s="57" customFormat="1" x14ac:dyDescent="0.25">
      <c r="A83" s="44" t="s">
        <v>495</v>
      </c>
      <c r="B83" s="115"/>
      <c r="C83" s="115"/>
      <c r="D83" s="115"/>
      <c r="E83" s="23" t="s">
        <v>496</v>
      </c>
      <c r="F83" s="23"/>
      <c r="G83" s="18" t="s">
        <v>26</v>
      </c>
      <c r="H83" s="23" t="s">
        <v>497</v>
      </c>
      <c r="I83" s="18" t="s">
        <v>55</v>
      </c>
      <c r="J83" s="18" t="s">
        <v>55</v>
      </c>
      <c r="K83" s="23"/>
      <c r="L83" s="23"/>
      <c r="M83" s="23"/>
      <c r="N83" s="23"/>
    </row>
    <row r="84" spans="1:14" x14ac:dyDescent="0.25">
      <c r="A84" s="44" t="s">
        <v>498</v>
      </c>
      <c r="B84" s="115"/>
      <c r="C84" s="115"/>
      <c r="D84" s="115"/>
      <c r="E84" s="23" t="s">
        <v>499</v>
      </c>
      <c r="F84" s="23"/>
      <c r="G84" s="18" t="s">
        <v>26</v>
      </c>
      <c r="H84" s="23" t="s">
        <v>500</v>
      </c>
      <c r="I84" s="18" t="s">
        <v>55</v>
      </c>
      <c r="J84" s="18" t="s">
        <v>55</v>
      </c>
      <c r="K84" s="23"/>
      <c r="L84" s="23"/>
      <c r="M84" s="23"/>
      <c r="N84" s="23"/>
    </row>
    <row r="85" spans="1:14" x14ac:dyDescent="0.25">
      <c r="A85" s="44" t="s">
        <v>501</v>
      </c>
      <c r="B85" s="115"/>
      <c r="C85" s="115"/>
      <c r="D85" s="116"/>
      <c r="E85" s="23" t="s">
        <v>502</v>
      </c>
      <c r="F85" s="23"/>
      <c r="G85" s="18" t="s">
        <v>26</v>
      </c>
      <c r="H85" s="23" t="s">
        <v>503</v>
      </c>
      <c r="I85" s="18" t="s">
        <v>22</v>
      </c>
      <c r="J85" s="18" t="s">
        <v>22</v>
      </c>
      <c r="K85" s="23"/>
      <c r="L85" s="23"/>
      <c r="M85" s="23"/>
      <c r="N85" s="23"/>
    </row>
    <row r="86" spans="1:14" x14ac:dyDescent="0.25">
      <c r="A86" s="44" t="s">
        <v>504</v>
      </c>
      <c r="B86" s="116"/>
      <c r="C86" s="116"/>
      <c r="D86" s="58" t="s">
        <v>505</v>
      </c>
      <c r="E86" s="23" t="s">
        <v>506</v>
      </c>
      <c r="F86" s="23"/>
      <c r="G86" s="18" t="s">
        <v>20</v>
      </c>
      <c r="H86" s="23" t="s">
        <v>507</v>
      </c>
      <c r="I86" s="18" t="s">
        <v>22</v>
      </c>
      <c r="J86" s="18" t="s">
        <v>22</v>
      </c>
      <c r="K86" s="23"/>
      <c r="L86" s="23"/>
      <c r="M86" s="23"/>
      <c r="N86" s="23"/>
    </row>
  </sheetData>
  <mergeCells count="46">
    <mergeCell ref="B71:B74"/>
    <mergeCell ref="C71:C74"/>
    <mergeCell ref="D71:D74"/>
    <mergeCell ref="D69:D70"/>
    <mergeCell ref="C69:C70"/>
    <mergeCell ref="B69:B70"/>
    <mergeCell ref="B79:B86"/>
    <mergeCell ref="C79:C86"/>
    <mergeCell ref="D80:D85"/>
    <mergeCell ref="B75:B78"/>
    <mergeCell ref="C75:C78"/>
    <mergeCell ref="D75:D78"/>
    <mergeCell ref="D26:D34"/>
    <mergeCell ref="B35:B37"/>
    <mergeCell ref="C35:C37"/>
    <mergeCell ref="D35:D37"/>
    <mergeCell ref="B5:B18"/>
    <mergeCell ref="C5:C18"/>
    <mergeCell ref="D5:D18"/>
    <mergeCell ref="B19:B23"/>
    <mergeCell ref="C19:C23"/>
    <mergeCell ref="D19:D23"/>
    <mergeCell ref="H1:H2"/>
    <mergeCell ref="I1:J1"/>
    <mergeCell ref="D1:D2"/>
    <mergeCell ref="E1:E2"/>
    <mergeCell ref="F1:F2"/>
    <mergeCell ref="G1:G2"/>
    <mergeCell ref="A1:A2"/>
    <mergeCell ref="B1:B2"/>
    <mergeCell ref="C1:C2"/>
    <mergeCell ref="B24:B25"/>
    <mergeCell ref="B26:B34"/>
    <mergeCell ref="C26:C34"/>
    <mergeCell ref="B38:B40"/>
    <mergeCell ref="C38:C40"/>
    <mergeCell ref="D38:D40"/>
    <mergeCell ref="B41:B42"/>
    <mergeCell ref="C41:C42"/>
    <mergeCell ref="D41:D42"/>
    <mergeCell ref="B43:B52"/>
    <mergeCell ref="C43:C52"/>
    <mergeCell ref="D43:D52"/>
    <mergeCell ref="B53:B68"/>
    <mergeCell ref="C53:C68"/>
    <mergeCell ref="D53:D67"/>
  </mergeCells>
  <conditionalFormatting sqref="H4 I3:J11 I84:J86 I14:J81">
    <cfRule type="containsText" dxfId="23" priority="19" operator="containsText" text="Un-test">
      <formula>NOT(ISERROR(SEARCH("Un-test",H3)))</formula>
    </cfRule>
    <cfRule type="containsText" dxfId="22" priority="21" operator="containsText" text="Passed">
      <formula>NOT(ISERROR(SEARCH(("Passed"),(H3))))</formula>
    </cfRule>
  </conditionalFormatting>
  <conditionalFormatting sqref="H4 I3:J11 I84:J86 I14:J81">
    <cfRule type="containsText" dxfId="21" priority="22" operator="containsText" text="Failed">
      <formula>NOT(ISERROR(SEARCH(("Failed"),(H3))))</formula>
    </cfRule>
  </conditionalFormatting>
  <conditionalFormatting sqref="F4 G3:G11 G84:G86 G14:G81">
    <cfRule type="containsText" dxfId="20" priority="23" operator="containsText" text="High">
      <formula>NOT(ISERROR(SEARCH(("High"),(F3))))</formula>
    </cfRule>
  </conditionalFormatting>
  <conditionalFormatting sqref="F4 G3:G11 G84:G86 G14:G81">
    <cfRule type="containsText" dxfId="19" priority="24" operator="containsText" text="Medium">
      <formula>NOT(ISERROR(SEARCH(("Medium"),(F3))))</formula>
    </cfRule>
  </conditionalFormatting>
  <conditionalFormatting sqref="F4 G3:G11 G84:G86 G14:G81">
    <cfRule type="containsText" dxfId="18" priority="25" operator="containsText" text="Low">
      <formula>NOT(ISERROR(SEARCH(("Low"),(F3))))</formula>
    </cfRule>
  </conditionalFormatting>
  <conditionalFormatting sqref="I12:J13">
    <cfRule type="containsText" dxfId="17" priority="13" operator="containsText" text="Un-test">
      <formula>NOT(ISERROR(SEARCH("Un-test",I12)))</formula>
    </cfRule>
    <cfRule type="containsText" dxfId="16" priority="14" operator="containsText" text="Passed">
      <formula>NOT(ISERROR(SEARCH(("Passed"),(I12))))</formula>
    </cfRule>
  </conditionalFormatting>
  <conditionalFormatting sqref="I12:J13">
    <cfRule type="containsText" dxfId="15" priority="15" operator="containsText" text="Failed">
      <formula>NOT(ISERROR(SEARCH(("Failed"),(I12))))</formula>
    </cfRule>
  </conditionalFormatting>
  <conditionalFormatting sqref="G12:G13">
    <cfRule type="containsText" dxfId="14" priority="16" operator="containsText" text="High">
      <formula>NOT(ISERROR(SEARCH(("High"),(G12))))</formula>
    </cfRule>
  </conditionalFormatting>
  <conditionalFormatting sqref="G12:G13">
    <cfRule type="containsText" dxfId="13" priority="17" operator="containsText" text="Medium">
      <formula>NOT(ISERROR(SEARCH(("Medium"),(G12))))</formula>
    </cfRule>
  </conditionalFormatting>
  <conditionalFormatting sqref="G12:G13">
    <cfRule type="containsText" dxfId="12" priority="18" operator="containsText" text="Low">
      <formula>NOT(ISERROR(SEARCH(("Low"),(G12))))</formula>
    </cfRule>
  </conditionalFormatting>
  <conditionalFormatting sqref="I82:J82">
    <cfRule type="containsText" dxfId="11" priority="7" operator="containsText" text="Un-test">
      <formula>NOT(ISERROR(SEARCH("Un-test",I82)))</formula>
    </cfRule>
    <cfRule type="containsText" dxfId="10" priority="8" operator="containsText" text="Passed">
      <formula>NOT(ISERROR(SEARCH(("Passed"),(I82))))</formula>
    </cfRule>
  </conditionalFormatting>
  <conditionalFormatting sqref="I82:J82">
    <cfRule type="containsText" dxfId="9" priority="9" operator="containsText" text="Failed">
      <formula>NOT(ISERROR(SEARCH(("Failed"),(I82))))</formula>
    </cfRule>
  </conditionalFormatting>
  <conditionalFormatting sqref="G82">
    <cfRule type="containsText" dxfId="8" priority="10" operator="containsText" text="High">
      <formula>NOT(ISERROR(SEARCH(("High"),(G82))))</formula>
    </cfRule>
  </conditionalFormatting>
  <conditionalFormatting sqref="G82">
    <cfRule type="containsText" dxfId="7" priority="11" operator="containsText" text="Medium">
      <formula>NOT(ISERROR(SEARCH(("Medium"),(G82))))</formula>
    </cfRule>
  </conditionalFormatting>
  <conditionalFormatting sqref="G82">
    <cfRule type="containsText" dxfId="6" priority="12" operator="containsText" text="Low">
      <formula>NOT(ISERROR(SEARCH(("Low"),(G82))))</formula>
    </cfRule>
  </conditionalFormatting>
  <conditionalFormatting sqref="I83:J83">
    <cfRule type="containsText" dxfId="5" priority="1" operator="containsText" text="Un-test">
      <formula>NOT(ISERROR(SEARCH("Un-test",I83)))</formula>
    </cfRule>
    <cfRule type="containsText" dxfId="4" priority="2" operator="containsText" text="Passed">
      <formula>NOT(ISERROR(SEARCH(("Passed"),(I83))))</formula>
    </cfRule>
  </conditionalFormatting>
  <conditionalFormatting sqref="I83:J83">
    <cfRule type="containsText" dxfId="3" priority="3" operator="containsText" text="Failed">
      <formula>NOT(ISERROR(SEARCH(("Failed"),(I83))))</formula>
    </cfRule>
  </conditionalFormatting>
  <conditionalFormatting sqref="G83">
    <cfRule type="containsText" dxfId="2" priority="4" operator="containsText" text="High">
      <formula>NOT(ISERROR(SEARCH(("High"),(G83))))</formula>
    </cfRule>
  </conditionalFormatting>
  <conditionalFormatting sqref="G83">
    <cfRule type="containsText" dxfId="1" priority="5" operator="containsText" text="Medium">
      <formula>NOT(ISERROR(SEARCH(("Medium"),(G83))))</formula>
    </cfRule>
  </conditionalFormatting>
  <conditionalFormatting sqref="G83">
    <cfRule type="containsText" dxfId="0" priority="6" operator="containsText" text="Low">
      <formula>NOT(ISERROR(SEARCH(("Low"),(G83))))</formula>
    </cfRule>
  </conditionalFormatting>
  <dataValidations count="2">
    <dataValidation type="list" allowBlank="1" sqref="F4:G4 G3 F38:F40 G5:G86">
      <formula1>"High,Medium,Low"</formula1>
    </dataValidation>
    <dataValidation type="list" allowBlank="1" sqref="I3:J3 H4:J4 I5:J86">
      <formula1>"Passed,Failed,Un-test"</formula1>
    </dataValidation>
  </dataValidations>
  <pageMargins left="0" right="0" top="0" bottom="0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1"/>
  <sheetViews>
    <sheetView topLeftCell="A60" zoomScale="42" zoomScaleNormal="44" workbookViewId="0">
      <selection activeCell="W23" sqref="W23"/>
    </sheetView>
  </sheetViews>
  <sheetFormatPr defaultColWidth="12.54296875" defaultRowHeight="15.75" customHeight="1" x14ac:dyDescent="0.25"/>
  <cols>
    <col min="1" max="1" width="16" customWidth="1"/>
  </cols>
  <sheetData>
    <row r="1" spans="1:22" ht="15.75" customHeight="1" x14ac:dyDescent="0.35">
      <c r="A1" s="117" t="s">
        <v>508</v>
      </c>
      <c r="B1" s="119" t="s">
        <v>509</v>
      </c>
      <c r="C1" s="121" t="s">
        <v>13</v>
      </c>
      <c r="D1" s="122"/>
      <c r="E1" s="123"/>
      <c r="F1" s="121" t="s">
        <v>14</v>
      </c>
      <c r="G1" s="122"/>
      <c r="H1" s="123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 spans="1:22" ht="15.75" customHeight="1" x14ac:dyDescent="0.35">
      <c r="A2" s="118"/>
      <c r="B2" s="120"/>
      <c r="C2" s="71" t="s">
        <v>22</v>
      </c>
      <c r="D2" s="71" t="s">
        <v>55</v>
      </c>
      <c r="E2" s="71" t="s">
        <v>50</v>
      </c>
      <c r="F2" s="71" t="s">
        <v>22</v>
      </c>
      <c r="G2" s="71" t="s">
        <v>55</v>
      </c>
      <c r="H2" s="71" t="s">
        <v>50</v>
      </c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 spans="1:22" ht="15.75" customHeight="1" x14ac:dyDescent="0.25">
      <c r="A3" s="9" t="s">
        <v>510</v>
      </c>
      <c r="B3" s="15">
        <f>COUNTIF(Login!A3:A99,"Login*")</f>
        <v>19</v>
      </c>
      <c r="C3" s="15">
        <f>COUNTIF(Login!I3:I99,"Passed*")</f>
        <v>13</v>
      </c>
      <c r="D3" s="15">
        <f>COUNTIF(Login!I3:I99,"Failed*")</f>
        <v>5</v>
      </c>
      <c r="E3" s="15">
        <f>COUNTIF(Login!I3:I99,"Un-test*")</f>
        <v>1</v>
      </c>
      <c r="F3" s="15">
        <f>COUNTIF(Login!J3:J99,"Passed*")</f>
        <v>13</v>
      </c>
      <c r="G3" s="15">
        <f>COUNTIF(Login!J3:J98,"Failed*")</f>
        <v>5</v>
      </c>
      <c r="H3" s="15">
        <f>COUNTIF(Login!J3:J98,"Un-test*")</f>
        <v>1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 spans="1:22" ht="15.75" customHeight="1" x14ac:dyDescent="0.25">
      <c r="A4" s="9" t="s">
        <v>511</v>
      </c>
      <c r="B4" s="15">
        <f>COUNTIF(Logout!A3:A27,"Logout*")</f>
        <v>4</v>
      </c>
      <c r="C4" s="15">
        <f>COUNTIF(Logout!I3:I27,"Passed*")</f>
        <v>4</v>
      </c>
      <c r="D4" s="15">
        <f>COUNTIF(Logout!I3:I27,"Failed*")</f>
        <v>0</v>
      </c>
      <c r="E4" s="15">
        <f>COUNTIF(Logout!I3:I27,"Un-test*")</f>
        <v>0</v>
      </c>
      <c r="F4" s="15">
        <f>COUNTIF(Logout!J3:J27,"Passed*")</f>
        <v>4</v>
      </c>
      <c r="G4" s="15">
        <f>COUNTIF(Logout!J3:J27,"Failed*")</f>
        <v>0</v>
      </c>
      <c r="H4" s="15">
        <f>COUNTIF(Logout!J3:J27,"Un-test*")</f>
        <v>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</row>
    <row r="5" spans="1:22" ht="15.75" customHeight="1" x14ac:dyDescent="0.25">
      <c r="A5" s="9" t="s">
        <v>512</v>
      </c>
      <c r="B5" s="15">
        <f>COUNTIF('Forgot Password'!A3:A29,"ForgotPassword*")</f>
        <v>8</v>
      </c>
      <c r="C5" s="15">
        <f>COUNTIF('Forgot Password'!I3:I27,"Passed*")</f>
        <v>7</v>
      </c>
      <c r="D5" s="15">
        <f>COUNTIF('Forgot Password'!I3:I27,"Failed*")</f>
        <v>0</v>
      </c>
      <c r="E5" s="15">
        <f>COUNTIF('Forgot Password'!I3:I27,"Un-test*")</f>
        <v>1</v>
      </c>
      <c r="F5" s="15">
        <f>COUNTIF('Forgot Password'!J3:J27,"Passed*")</f>
        <v>7</v>
      </c>
      <c r="G5" s="15">
        <f>COUNTIF('Forgot Password'!J3:J27,"Failed*")</f>
        <v>0</v>
      </c>
      <c r="H5" s="15">
        <f>COUNTIF('Forgot Password'!J3:J27,"Un-test*")</f>
        <v>1</v>
      </c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</row>
    <row r="6" spans="1:22" ht="15.75" customHeight="1" x14ac:dyDescent="0.25">
      <c r="A6" s="9" t="s">
        <v>513</v>
      </c>
      <c r="B6" s="15">
        <f>COUNTIF('My Account'!A3:A30,"MyAccount*")</f>
        <v>9</v>
      </c>
      <c r="C6" s="15">
        <f>COUNTIF('My Account'!I3:I27,"Passed*")</f>
        <v>8</v>
      </c>
      <c r="D6" s="15">
        <f>COUNTIF('My Account'!I3:I27,"Failed*")</f>
        <v>1</v>
      </c>
      <c r="E6" s="15">
        <f>COUNTIF('My Account'!I3:I27,"Un-test*")</f>
        <v>0</v>
      </c>
      <c r="F6" s="15">
        <f>COUNTIF('My Account'!J3:J27,"Passed*")</f>
        <v>8</v>
      </c>
      <c r="G6" s="15">
        <f>COUNTIF('My Account'!J3:J27,"Failed*")</f>
        <v>1</v>
      </c>
      <c r="H6" s="15">
        <f>COUNTIF('My Account'!J3:J27,"Un-test*")</f>
        <v>0</v>
      </c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</row>
    <row r="7" spans="1:22" ht="15.75" customHeight="1" x14ac:dyDescent="0.25">
      <c r="A7" s="69" t="s">
        <v>514</v>
      </c>
      <c r="B7" s="70">
        <f>COUNTIF(Checkout!A3:A103,"Checkout*")</f>
        <v>84</v>
      </c>
      <c r="C7" s="70">
        <f>COUNTIF(Checkout!I3:I103,"Passed*")</f>
        <v>66</v>
      </c>
      <c r="D7" s="70">
        <f>COUNTIF(Checkout!I3:I103,"Failed*")</f>
        <v>17</v>
      </c>
      <c r="E7" s="70">
        <f>COUNTIF(Checkout!I3:I103,"Un-test*")</f>
        <v>1</v>
      </c>
      <c r="F7" s="70">
        <f>COUNTIF(Checkout!J3:J103,"Passed*")</f>
        <v>66</v>
      </c>
      <c r="G7" s="70">
        <f>COUNTIF(Checkout!J3:J103,"Failed*")</f>
        <v>17</v>
      </c>
      <c r="H7" s="70">
        <f>COUNTIF(Checkout!J3:J103,"Un-test*")</f>
        <v>1</v>
      </c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</row>
    <row r="8" spans="1:22" ht="15.75" customHeight="1" x14ac:dyDescent="0.25">
      <c r="A8" s="72" t="s">
        <v>515</v>
      </c>
      <c r="B8" s="73">
        <f>SUM(B3:B7)</f>
        <v>124</v>
      </c>
      <c r="C8" s="73">
        <f t="shared" ref="C8:H8" si="0">SUM(C3:C7)</f>
        <v>98</v>
      </c>
      <c r="D8" s="73">
        <f t="shared" si="0"/>
        <v>23</v>
      </c>
      <c r="E8" s="73">
        <f t="shared" si="0"/>
        <v>3</v>
      </c>
      <c r="F8" s="73">
        <f t="shared" si="0"/>
        <v>98</v>
      </c>
      <c r="G8" s="73">
        <f t="shared" si="0"/>
        <v>23</v>
      </c>
      <c r="H8" s="73">
        <f t="shared" si="0"/>
        <v>3</v>
      </c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</row>
    <row r="11" spans="1:22" ht="15.75" customHeight="1" x14ac:dyDescent="0.25">
      <c r="A11" s="4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</row>
  </sheetData>
  <mergeCells count="4">
    <mergeCell ref="A1:A2"/>
    <mergeCell ref="B1:B2"/>
    <mergeCell ref="C1:E1"/>
    <mergeCell ref="F1:H1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Logout</vt:lpstr>
      <vt:lpstr>Forgot Password</vt:lpstr>
      <vt:lpstr>My Account</vt:lpstr>
      <vt:lpstr>Checkout</vt:lpstr>
      <vt:lpstr>Summary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DELL</cp:lastModifiedBy>
  <cp:revision/>
  <dcterms:created xsi:type="dcterms:W3CDTF">2026-03-16T04:27:46Z</dcterms:created>
  <dcterms:modified xsi:type="dcterms:W3CDTF">2026-05-17T23:07:09Z</dcterms:modified>
  <cp:category/>
  <cp:contentStatus/>
</cp:coreProperties>
</file>